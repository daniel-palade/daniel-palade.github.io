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" sheetId="3" state="hidden" r:id="rId3"/>
  </sheets>
  <definedNames>
    <definedName name="_xlnm._FilterDatabase" localSheetId="1" hidden="1">'Data'!$A$1:$H$31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808080"/>
      <sz val="10"/>
    </font>
    <font>
      <b val="1"/>
      <color rgb="00FFFFFF"/>
      <sz val="11"/>
    </font>
    <font>
      <b val="1"/>
      <color rgb="001F4E79"/>
      <sz val="16"/>
    </font>
    <font>
      <b val="1"/>
      <color rgb="00FFFFFF"/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C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'Calc'!$A$2:$A$6</f>
            </numRef>
          </cat>
          <val>
            <numRef>
              <f>'Calc'!$B$2:$B$6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Stock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'Calc'!$G$2:$G$11</f>
            </numRef>
          </cat>
          <val>
            <numRef>
              <f>'Calc'!$H$2:$H$11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Supplier</a:t>
            </a:r>
          </a:p>
        </rich>
      </tx>
    </title>
    <plotArea>
      <pieChart>
        <varyColors val="1"/>
        <ser>
          <idx val="0"/>
          <order val="0"/>
          <tx>
            <strRef>
              <f>'Calc'!E1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'Calc'!$D$2:$D$6</f>
            </numRef>
          </cat>
          <val>
            <numRef>
              <f>'Calc'!$E$2:$E$6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in Stock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'Calc'!$J$2:$J$6</f>
            </numRef>
          </cat>
          <val>
            <numRef>
              <f>'Calc'!$K$2:$K$6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27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RETAIL STORE - INVENTORY OVERVIEW</t>
        </is>
      </c>
    </row>
    <row r="2"/>
    <row r="3">
      <c r="A3" s="2" t="inlineStr">
        <is>
          <t>Live formulas - replace Data with your stock export and everything updates</t>
        </is>
      </c>
    </row>
    <row r="4" ht="22" customHeight="1">
      <c r="B4" s="3" t="inlineStr">
        <is>
          <t>TOTAL STOCK VALUE</t>
        </is>
      </c>
      <c r="E4" s="3" t="inlineStr">
        <is>
          <t>TOTAL SKUs</t>
        </is>
      </c>
      <c r="H4" s="3" t="inlineStr">
        <is>
          <t>LOW-STOCK ITEMS</t>
        </is>
      </c>
      <c r="K4" s="3" t="inlineStr">
        <is>
          <t>UNITS IN STOCK</t>
        </is>
      </c>
    </row>
    <row r="5" ht="30" customHeight="1">
      <c r="B5" s="4">
        <f>SUM(Data!H2:H31)</f>
        <v/>
      </c>
      <c r="E5" s="5">
        <f>COUNTA(Data!A2:A31)</f>
        <v/>
      </c>
      <c r="H5" s="5">
        <f>SUMPRODUCT(--(Data!E2:E31&lt;Data!F2:F31))</f>
        <v/>
      </c>
      <c r="K5" s="5">
        <f>SUM(Data!E2:E31)</f>
        <v/>
      </c>
    </row>
    <row r="7" ht="20" customHeight="1">
      <c r="B7" s="6" t="inlineStr">
        <is>
          <t>TOP CATEGORY</t>
        </is>
      </c>
      <c r="E7" s="6" t="inlineStr">
        <is>
          <t>HIGHEST-VALUE ITEM</t>
        </is>
      </c>
      <c r="H7" s="6" t="inlineStr">
        <is>
          <t>AVG ITEM VALUE</t>
        </is>
      </c>
      <c r="K7" s="6" t="inlineStr">
        <is>
          <t>MAIN SUPPLIER</t>
        </is>
      </c>
    </row>
    <row r="8" ht="26" customHeight="1">
      <c r="B8" s="7">
        <f>INDEX(Calc!A2:A6,MATCH(MAX(Calc!B2:B6),Calc!B2:B6,0))</f>
        <v/>
      </c>
      <c r="E8" s="7">
        <f>INDEX(Data!C2:C31,MATCH(MAX(Data!H2:H31),Data!H2:H31,0))</f>
        <v/>
      </c>
      <c r="H8" s="7">
        <f>AVERAGE(Data!H2:H31)</f>
        <v/>
      </c>
      <c r="K8" s="7">
        <f>INDEX(Calc!D2:D6,MATCH(MAX(Calc!E2:E6),Calc!E2:E6,0))</f>
        <v/>
      </c>
    </row>
  </sheetData>
  <mergeCells count="18">
    <mergeCell ref="K8:L8"/>
    <mergeCell ref="H4:I4"/>
    <mergeCell ref="K5:L5"/>
    <mergeCell ref="H7:I7"/>
    <mergeCell ref="H5:I5"/>
    <mergeCell ref="E7:F7"/>
    <mergeCell ref="B8:C8"/>
    <mergeCell ref="B5:C5"/>
    <mergeCell ref="E4:F4"/>
    <mergeCell ref="E8:F8"/>
    <mergeCell ref="H8:I8"/>
    <mergeCell ref="A3:M3"/>
    <mergeCell ref="B4:C4"/>
    <mergeCell ref="E5:F5"/>
    <mergeCell ref="K7:L7"/>
    <mergeCell ref="B7:C7"/>
    <mergeCell ref="K4:L4"/>
    <mergeCell ref="A1:M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8" customWidth="1" min="4" max="4"/>
    <col width="10" customWidth="1" min="5" max="5"/>
    <col width="13" customWidth="1" min="6" max="6"/>
    <col width="11" customWidth="1" min="7" max="7"/>
    <col width="12" customWidth="1" min="8" max="8"/>
  </cols>
  <sheetData>
    <row r="1">
      <c r="A1" s="8" t="inlineStr">
        <is>
          <t>SKU</t>
        </is>
      </c>
      <c r="B1" s="8" t="inlineStr">
        <is>
          <t>Category</t>
        </is>
      </c>
      <c r="C1" s="8" t="inlineStr">
        <is>
          <t>Product</t>
        </is>
      </c>
      <c r="D1" s="8" t="inlineStr">
        <is>
          <t>Supplier</t>
        </is>
      </c>
      <c r="E1" s="8" t="inlineStr">
        <is>
          <t>Stock Qty</t>
        </is>
      </c>
      <c r="F1" s="8" t="inlineStr">
        <is>
          <t>Reorder Point</t>
        </is>
      </c>
      <c r="G1" s="8" t="inlineStr">
        <is>
          <t>Unit Cost</t>
        </is>
      </c>
      <c r="H1" s="8" t="inlineStr">
        <is>
          <t>Stock Value</t>
        </is>
      </c>
    </row>
    <row r="2">
      <c r="A2" s="9" t="inlineStr">
        <is>
          <t>SKU-5433</t>
        </is>
      </c>
      <c r="B2" s="9" t="inlineStr">
        <is>
          <t>Home &amp; Kitchen</t>
        </is>
      </c>
      <c r="C2" s="9" t="inlineStr">
        <is>
          <t>Cookware Set</t>
        </is>
      </c>
      <c r="D2" s="9" t="inlineStr">
        <is>
          <t>EuroParts Trading</t>
        </is>
      </c>
      <c r="E2" s="9" t="n">
        <v>115</v>
      </c>
      <c r="F2" s="9" t="n">
        <v>20</v>
      </c>
      <c r="G2" s="10" t="n">
        <v>76.84999999999999</v>
      </c>
      <c r="H2" s="10">
        <f>E2*G2</f>
        <v/>
      </c>
    </row>
    <row r="3">
      <c r="A3" t="inlineStr">
        <is>
          <t>SKU-2002</t>
        </is>
      </c>
      <c r="B3" t="inlineStr">
        <is>
          <t>Home &amp; Kitchen</t>
        </is>
      </c>
      <c r="C3" t="inlineStr">
        <is>
          <t>Blender</t>
        </is>
      </c>
      <c r="D3" t="inlineStr">
        <is>
          <t>VestDistribution</t>
        </is>
      </c>
      <c r="E3" t="n">
        <v>161</v>
      </c>
      <c r="F3" t="n">
        <v>30</v>
      </c>
      <c r="G3" s="11" t="n">
        <v>43.88</v>
      </c>
      <c r="H3" s="11">
        <f>E3*G3</f>
        <v/>
      </c>
    </row>
    <row r="4">
      <c r="A4" s="9" t="inlineStr">
        <is>
          <t>SKU-1110</t>
        </is>
      </c>
      <c r="B4" s="9" t="inlineStr">
        <is>
          <t>Clothing</t>
        </is>
      </c>
      <c r="C4" s="9" t="inlineStr">
        <is>
          <t>Sneakers</t>
        </is>
      </c>
      <c r="D4" s="9" t="inlineStr">
        <is>
          <t>NordSupply</t>
        </is>
      </c>
      <c r="E4" s="9" t="n">
        <v>122</v>
      </c>
      <c r="F4" s="9" t="n">
        <v>25</v>
      </c>
      <c r="G4" s="10" t="n">
        <v>47.57</v>
      </c>
      <c r="H4" s="10">
        <f>E4*G4</f>
        <v/>
      </c>
    </row>
    <row r="5">
      <c r="A5" t="inlineStr">
        <is>
          <t>SKU-9955</t>
        </is>
      </c>
      <c r="B5" t="inlineStr">
        <is>
          <t>Clothing</t>
        </is>
      </c>
      <c r="C5" t="inlineStr">
        <is>
          <t>Winter Jacket</t>
        </is>
      </c>
      <c r="D5" t="inlineStr">
        <is>
          <t>GlobalWholesale</t>
        </is>
      </c>
      <c r="E5" t="n">
        <v>94</v>
      </c>
      <c r="F5" t="n">
        <v>25</v>
      </c>
      <c r="G5" s="11" t="n">
        <v>61.57</v>
      </c>
      <c r="H5" s="11">
        <f>E5*G5</f>
        <v/>
      </c>
    </row>
    <row r="6">
      <c r="A6" s="9" t="inlineStr">
        <is>
          <t>SKU-3934</t>
        </is>
      </c>
      <c r="B6" s="9" t="inlineStr">
        <is>
          <t>Electronics</t>
        </is>
      </c>
      <c r="C6" s="9" t="inlineStr">
        <is>
          <t>Power Bank</t>
        </is>
      </c>
      <c r="D6" s="9" t="inlineStr">
        <is>
          <t>MegaImport</t>
        </is>
      </c>
      <c r="E6" s="9" t="n">
        <v>180</v>
      </c>
      <c r="F6" s="9" t="n">
        <v>40</v>
      </c>
      <c r="G6" s="10" t="n">
        <v>28.54</v>
      </c>
      <c r="H6" s="10">
        <f>E6*G6</f>
        <v/>
      </c>
    </row>
    <row r="7">
      <c r="A7" t="inlineStr">
        <is>
          <t>SKU-7441</t>
        </is>
      </c>
      <c r="B7" t="inlineStr">
        <is>
          <t>Home &amp; Kitchen</t>
        </is>
      </c>
      <c r="C7" t="inlineStr">
        <is>
          <t>Toaster</t>
        </is>
      </c>
      <c r="D7" t="inlineStr">
        <is>
          <t>VestDistribution</t>
        </is>
      </c>
      <c r="E7" t="n">
        <v>171</v>
      </c>
      <c r="F7" t="n">
        <v>50</v>
      </c>
      <c r="G7" s="11" t="n">
        <v>29.42</v>
      </c>
      <c r="H7" s="11">
        <f>E7*G7</f>
        <v/>
      </c>
    </row>
    <row r="8">
      <c r="A8" s="9" t="inlineStr">
        <is>
          <t>SKU-7708</t>
        </is>
      </c>
      <c r="B8" s="9" t="inlineStr">
        <is>
          <t>Home &amp; Kitchen</t>
        </is>
      </c>
      <c r="C8" s="9" t="inlineStr">
        <is>
          <t>Kettle</t>
        </is>
      </c>
      <c r="D8" s="9" t="inlineStr">
        <is>
          <t>GlobalWholesale</t>
        </is>
      </c>
      <c r="E8" s="9" t="n">
        <v>174</v>
      </c>
      <c r="F8" s="9" t="n">
        <v>25</v>
      </c>
      <c r="G8" s="10" t="n">
        <v>26.46</v>
      </c>
      <c r="H8" s="10">
        <f>E8*G8</f>
        <v/>
      </c>
    </row>
    <row r="9">
      <c r="A9" t="inlineStr">
        <is>
          <t>SKU-9755</t>
        </is>
      </c>
      <c r="B9" t="inlineStr">
        <is>
          <t>Toys</t>
        </is>
      </c>
      <c r="C9" t="inlineStr">
        <is>
          <t>Board Game</t>
        </is>
      </c>
      <c r="D9" t="inlineStr">
        <is>
          <t>VestDistribution</t>
        </is>
      </c>
      <c r="E9" t="n">
        <v>129</v>
      </c>
      <c r="F9" t="n">
        <v>20</v>
      </c>
      <c r="G9" s="11" t="n">
        <v>29.81</v>
      </c>
      <c r="H9" s="11">
        <f>E9*G9</f>
        <v/>
      </c>
    </row>
    <row r="10">
      <c r="A10" s="9" t="inlineStr">
        <is>
          <t>SKU-4018</t>
        </is>
      </c>
      <c r="B10" s="9" t="inlineStr">
        <is>
          <t>Electronics</t>
        </is>
      </c>
      <c r="C10" s="9" t="inlineStr">
        <is>
          <t>Wireless Mouse</t>
        </is>
      </c>
      <c r="D10" s="9" t="inlineStr">
        <is>
          <t>NordSupply</t>
        </is>
      </c>
      <c r="E10" s="9" t="n">
        <v>171</v>
      </c>
      <c r="F10" s="9" t="n">
        <v>30</v>
      </c>
      <c r="G10" s="10" t="n">
        <v>21.17</v>
      </c>
      <c r="H10" s="10">
        <f>E10*G10</f>
        <v/>
      </c>
    </row>
    <row r="11">
      <c r="A11" t="inlineStr">
        <is>
          <t>SKU-3205</t>
        </is>
      </c>
      <c r="B11" t="inlineStr">
        <is>
          <t>Sports</t>
        </is>
      </c>
      <c r="C11" t="inlineStr">
        <is>
          <t>Yoga Mat</t>
        </is>
      </c>
      <c r="D11" t="inlineStr">
        <is>
          <t>EuroParts Trading</t>
        </is>
      </c>
      <c r="E11" t="n">
        <v>172</v>
      </c>
      <c r="F11" t="n">
        <v>20</v>
      </c>
      <c r="G11" s="11" t="n">
        <v>20.42</v>
      </c>
      <c r="H11" s="11">
        <f>E11*G11</f>
        <v/>
      </c>
    </row>
    <row r="12">
      <c r="A12" s="9" t="inlineStr">
        <is>
          <t>SKU-5527</t>
        </is>
      </c>
      <c r="B12" s="9" t="inlineStr">
        <is>
          <t>Toys</t>
        </is>
      </c>
      <c r="C12" s="9" t="inlineStr">
        <is>
          <t>Plush Bear</t>
        </is>
      </c>
      <c r="D12" s="9" t="inlineStr">
        <is>
          <t>NordSupply</t>
        </is>
      </c>
      <c r="E12" s="9" t="n">
        <v>153</v>
      </c>
      <c r="F12" s="9" t="n">
        <v>40</v>
      </c>
      <c r="G12" s="10" t="n">
        <v>20.95</v>
      </c>
      <c r="H12" s="10">
        <f>E12*G12</f>
        <v/>
      </c>
    </row>
    <row r="13">
      <c r="A13" t="inlineStr">
        <is>
          <t>SKU-2483</t>
        </is>
      </c>
      <c r="B13" t="inlineStr">
        <is>
          <t>Clothing</t>
        </is>
      </c>
      <c r="C13" t="inlineStr">
        <is>
          <t>Hoodie</t>
        </is>
      </c>
      <c r="D13" t="inlineStr">
        <is>
          <t>GlobalWholesale</t>
        </is>
      </c>
      <c r="E13" t="n">
        <v>96</v>
      </c>
      <c r="F13" t="n">
        <v>20</v>
      </c>
      <c r="G13" s="11" t="n">
        <v>29.32</v>
      </c>
      <c r="H13" s="11">
        <f>E13*G13</f>
        <v/>
      </c>
    </row>
    <row r="14">
      <c r="A14" s="9" t="inlineStr">
        <is>
          <t>SKU-2305</t>
        </is>
      </c>
      <c r="B14" s="9" t="inlineStr">
        <is>
          <t>Electronics</t>
        </is>
      </c>
      <c r="C14" s="9" t="inlineStr">
        <is>
          <t>Bluetooth Speaker</t>
        </is>
      </c>
      <c r="D14" s="9" t="inlineStr">
        <is>
          <t>EuroParts Trading</t>
        </is>
      </c>
      <c r="E14" s="9" t="n">
        <v>73</v>
      </c>
      <c r="F14" s="9" t="n">
        <v>20</v>
      </c>
      <c r="G14" s="10" t="n">
        <v>38.19</v>
      </c>
      <c r="H14" s="10">
        <f>E14*G14</f>
        <v/>
      </c>
    </row>
    <row r="15">
      <c r="A15" t="inlineStr">
        <is>
          <t>SKU-3807</t>
        </is>
      </c>
      <c r="B15" t="inlineStr">
        <is>
          <t>Toys</t>
        </is>
      </c>
      <c r="C15" t="inlineStr">
        <is>
          <t>Building Blocks</t>
        </is>
      </c>
      <c r="D15" t="inlineStr">
        <is>
          <t>MegaImport</t>
        </is>
      </c>
      <c r="E15" t="n">
        <v>116</v>
      </c>
      <c r="F15" t="n">
        <v>30</v>
      </c>
      <c r="G15" s="11" t="n">
        <v>23.42</v>
      </c>
      <c r="H15" s="11">
        <f>E15*G15</f>
        <v/>
      </c>
    </row>
    <row r="16">
      <c r="A16" s="9" t="inlineStr">
        <is>
          <t>SKU-1528</t>
        </is>
      </c>
      <c r="B16" s="9" t="inlineStr">
        <is>
          <t>Home &amp; Kitchen</t>
        </is>
      </c>
      <c r="C16" s="9" t="inlineStr">
        <is>
          <t>Knife Set</t>
        </is>
      </c>
      <c r="D16" s="9" t="inlineStr">
        <is>
          <t>GlobalWholesale</t>
        </is>
      </c>
      <c r="E16" s="9" t="n">
        <v>69</v>
      </c>
      <c r="F16" s="9" t="n">
        <v>50</v>
      </c>
      <c r="G16" s="10" t="n">
        <v>35.7</v>
      </c>
      <c r="H16" s="10">
        <f>E16*G16</f>
        <v/>
      </c>
    </row>
    <row r="17">
      <c r="A17" t="inlineStr">
        <is>
          <t>SKU-7729</t>
        </is>
      </c>
      <c r="B17" t="inlineStr">
        <is>
          <t>Sports</t>
        </is>
      </c>
      <c r="C17" t="inlineStr">
        <is>
          <t>Dumbbell Set</t>
        </is>
      </c>
      <c r="D17" t="inlineStr">
        <is>
          <t>NordSupply</t>
        </is>
      </c>
      <c r="E17" t="n">
        <v>42</v>
      </c>
      <c r="F17" t="n">
        <v>50</v>
      </c>
      <c r="G17" s="11" t="n">
        <v>56.91</v>
      </c>
      <c r="H17" s="11">
        <f>E17*G17</f>
        <v/>
      </c>
    </row>
    <row r="18">
      <c r="A18" s="9" t="inlineStr">
        <is>
          <t>SKU-9192</t>
        </is>
      </c>
      <c r="B18" s="9" t="inlineStr">
        <is>
          <t>Sports</t>
        </is>
      </c>
      <c r="C18" s="9" t="inlineStr">
        <is>
          <t>Resistance Bands</t>
        </is>
      </c>
      <c r="D18" s="9" t="inlineStr">
        <is>
          <t>VestDistribution</t>
        </is>
      </c>
      <c r="E18" s="9" t="n">
        <v>167</v>
      </c>
      <c r="F18" s="9" t="n">
        <v>20</v>
      </c>
      <c r="G18" s="10" t="n">
        <v>12.7</v>
      </c>
      <c r="H18" s="10">
        <f>E18*G18</f>
        <v/>
      </c>
    </row>
    <row r="19">
      <c r="A19" t="inlineStr">
        <is>
          <t>SKU-2252</t>
        </is>
      </c>
      <c r="B19" t="inlineStr">
        <is>
          <t>Toys</t>
        </is>
      </c>
      <c r="C19" t="inlineStr">
        <is>
          <t>Puzzle 500pc</t>
        </is>
      </c>
      <c r="D19" t="inlineStr">
        <is>
          <t>EuroParts Trading</t>
        </is>
      </c>
      <c r="E19" t="n">
        <v>95</v>
      </c>
      <c r="F19" t="n">
        <v>20</v>
      </c>
      <c r="G19" s="11" t="n">
        <v>21.95</v>
      </c>
      <c r="H19" s="11">
        <f>E19*G19</f>
        <v/>
      </c>
    </row>
    <row r="20">
      <c r="A20" s="9" t="inlineStr">
        <is>
          <t>SKU-7598</t>
        </is>
      </c>
      <c r="B20" s="9" t="inlineStr">
        <is>
          <t>Toys</t>
        </is>
      </c>
      <c r="C20" s="9" t="inlineStr">
        <is>
          <t>RC Car</t>
        </is>
      </c>
      <c r="D20" s="9" t="inlineStr">
        <is>
          <t>VestDistribution</t>
        </is>
      </c>
      <c r="E20" s="9" t="n">
        <v>35</v>
      </c>
      <c r="F20" s="9" t="n">
        <v>50</v>
      </c>
      <c r="G20" s="10" t="n">
        <v>52.84</v>
      </c>
      <c r="H20" s="10">
        <f>E20*G20</f>
        <v/>
      </c>
    </row>
    <row r="21">
      <c r="A21" t="inlineStr">
        <is>
          <t>SKU-1627</t>
        </is>
      </c>
      <c r="B21" t="inlineStr">
        <is>
          <t>Toys</t>
        </is>
      </c>
      <c r="C21" t="inlineStr">
        <is>
          <t>Art Kit</t>
        </is>
      </c>
      <c r="D21" t="inlineStr">
        <is>
          <t>EuroParts Trading</t>
        </is>
      </c>
      <c r="E21" t="n">
        <v>101</v>
      </c>
      <c r="F21" t="n">
        <v>50</v>
      </c>
      <c r="G21" s="11" t="n">
        <v>18.26</v>
      </c>
      <c r="H21" s="11">
        <f>E21*G21</f>
        <v/>
      </c>
    </row>
    <row r="22">
      <c r="A22" s="9" t="inlineStr">
        <is>
          <t>SKU-7599</t>
        </is>
      </c>
      <c r="B22" s="9" t="inlineStr">
        <is>
          <t>Clothing</t>
        </is>
      </c>
      <c r="C22" s="9" t="inlineStr">
        <is>
          <t>Jeans</t>
        </is>
      </c>
      <c r="D22" s="9" t="inlineStr">
        <is>
          <t>NordSupply</t>
        </is>
      </c>
      <c r="E22" s="9" t="n">
        <v>55</v>
      </c>
      <c r="F22" s="9" t="n">
        <v>50</v>
      </c>
      <c r="G22" s="10" t="n">
        <v>32.86</v>
      </c>
      <c r="H22" s="10">
        <f>E22*G22</f>
        <v/>
      </c>
    </row>
    <row r="23">
      <c r="A23" t="inlineStr">
        <is>
          <t>SKU-2967</t>
        </is>
      </c>
      <c r="B23" t="inlineStr">
        <is>
          <t>Sports</t>
        </is>
      </c>
      <c r="C23" t="inlineStr">
        <is>
          <t>Jump Rope</t>
        </is>
      </c>
      <c r="D23" t="inlineStr">
        <is>
          <t>GlobalWholesale</t>
        </is>
      </c>
      <c r="E23" t="n">
        <v>139</v>
      </c>
      <c r="F23" t="n">
        <v>25</v>
      </c>
      <c r="G23" s="11" t="n">
        <v>11.92</v>
      </c>
      <c r="H23" s="11">
        <f>E23*G23</f>
        <v/>
      </c>
    </row>
    <row r="24">
      <c r="A24" s="9" t="inlineStr">
        <is>
          <t>SKU-7123</t>
        </is>
      </c>
      <c r="B24" s="9" t="inlineStr">
        <is>
          <t>Home &amp; Kitchen</t>
        </is>
      </c>
      <c r="C24" s="9" t="inlineStr">
        <is>
          <t>Storage Box</t>
        </is>
      </c>
      <c r="D24" s="9" t="inlineStr">
        <is>
          <t>GlobalWholesale</t>
        </is>
      </c>
      <c r="E24" s="9" t="n">
        <v>154</v>
      </c>
      <c r="F24" s="9" t="n">
        <v>20</v>
      </c>
      <c r="G24" s="10" t="n">
        <v>10.49</v>
      </c>
      <c r="H24" s="10">
        <f>E24*G24</f>
        <v/>
      </c>
    </row>
    <row r="25">
      <c r="A25" t="inlineStr">
        <is>
          <t>SKU-6852</t>
        </is>
      </c>
      <c r="B25" t="inlineStr">
        <is>
          <t>Clothing</t>
        </is>
      </c>
      <c r="C25" t="inlineStr">
        <is>
          <t>Cap</t>
        </is>
      </c>
      <c r="D25" t="inlineStr">
        <is>
          <t>EuroParts Trading</t>
        </is>
      </c>
      <c r="E25" t="n">
        <v>118</v>
      </c>
      <c r="F25" t="n">
        <v>20</v>
      </c>
      <c r="G25" s="11" t="n">
        <v>10.38</v>
      </c>
      <c r="H25" s="11">
        <f>E25*G25</f>
        <v/>
      </c>
    </row>
    <row r="26">
      <c r="A26" s="9" t="inlineStr">
        <is>
          <t>SKU-9898</t>
        </is>
      </c>
      <c r="B26" s="9" t="inlineStr">
        <is>
          <t>Clothing</t>
        </is>
      </c>
      <c r="C26" s="9" t="inlineStr">
        <is>
          <t>T-Shirt Basic</t>
        </is>
      </c>
      <c r="D26" s="9" t="inlineStr">
        <is>
          <t>MegaImport</t>
        </is>
      </c>
      <c r="E26" s="9" t="n">
        <v>115</v>
      </c>
      <c r="F26" s="9" t="n">
        <v>50</v>
      </c>
      <c r="G26" s="10" t="n">
        <v>9.710000000000001</v>
      </c>
      <c r="H26" s="10">
        <f>E26*G26</f>
        <v/>
      </c>
    </row>
    <row r="27">
      <c r="A27" t="inlineStr">
        <is>
          <t>SKU-2814</t>
        </is>
      </c>
      <c r="B27" t="inlineStr">
        <is>
          <t>Sports</t>
        </is>
      </c>
      <c r="C27" t="inlineStr">
        <is>
          <t>Gym Gloves</t>
        </is>
      </c>
      <c r="D27" t="inlineStr">
        <is>
          <t>MegaImport</t>
        </is>
      </c>
      <c r="E27" t="n">
        <v>71</v>
      </c>
      <c r="F27" t="n">
        <v>20</v>
      </c>
      <c r="G27" s="11" t="n">
        <v>14.11</v>
      </c>
      <c r="H27" s="11">
        <f>E27*G27</f>
        <v/>
      </c>
    </row>
    <row r="28">
      <c r="A28" s="9" t="inlineStr">
        <is>
          <t>SKU-7906</t>
        </is>
      </c>
      <c r="B28" s="9" t="inlineStr">
        <is>
          <t>Electronics</t>
        </is>
      </c>
      <c r="C28" s="9" t="inlineStr">
        <is>
          <t>Phone Case</t>
        </is>
      </c>
      <c r="D28" s="9" t="inlineStr">
        <is>
          <t>EuroParts Trading</t>
        </is>
      </c>
      <c r="E28" s="9" t="n">
        <v>51</v>
      </c>
      <c r="F28" s="9" t="n">
        <v>20</v>
      </c>
      <c r="G28" s="10" t="n">
        <v>9.91</v>
      </c>
      <c r="H28" s="10">
        <f>E28*G28</f>
        <v/>
      </c>
    </row>
    <row r="29">
      <c r="A29" t="inlineStr">
        <is>
          <t>SKU-8750</t>
        </is>
      </c>
      <c r="B29" t="inlineStr">
        <is>
          <t>Sports</t>
        </is>
      </c>
      <c r="C29" t="inlineStr">
        <is>
          <t>Water Bottle</t>
        </is>
      </c>
      <c r="D29" t="inlineStr">
        <is>
          <t>GlobalWholesale</t>
        </is>
      </c>
      <c r="E29" t="n">
        <v>21</v>
      </c>
      <c r="F29" t="n">
        <v>30</v>
      </c>
      <c r="G29" s="11" t="n">
        <v>17.73</v>
      </c>
      <c r="H29" s="11">
        <f>E29*G29</f>
        <v/>
      </c>
    </row>
    <row r="30">
      <c r="A30" s="9" t="inlineStr">
        <is>
          <t>SKU-3299</t>
        </is>
      </c>
      <c r="B30" s="9" t="inlineStr">
        <is>
          <t>Electronics</t>
        </is>
      </c>
      <c r="C30" s="9" t="inlineStr">
        <is>
          <t>USB-C Cable</t>
        </is>
      </c>
      <c r="D30" s="9" t="inlineStr">
        <is>
          <t>EuroParts Trading</t>
        </is>
      </c>
      <c r="E30" s="9" t="n">
        <v>11</v>
      </c>
      <c r="F30" s="9" t="n">
        <v>50</v>
      </c>
      <c r="G30" s="10" t="n">
        <v>11.99</v>
      </c>
      <c r="H30" s="10">
        <f>E30*G30</f>
        <v/>
      </c>
    </row>
    <row r="31">
      <c r="A31" t="inlineStr">
        <is>
          <t>SKU-1793</t>
        </is>
      </c>
      <c r="B31" t="inlineStr">
        <is>
          <t>Electronics</t>
        </is>
      </c>
      <c r="C31" t="inlineStr">
        <is>
          <t>Smart Watch Strap</t>
        </is>
      </c>
      <c r="D31" t="inlineStr">
        <is>
          <t>MegaImport</t>
        </is>
      </c>
      <c r="E31" t="n">
        <v>10</v>
      </c>
      <c r="F31" t="n">
        <v>50</v>
      </c>
      <c r="G31" s="11" t="n">
        <v>11.32</v>
      </c>
      <c r="H31" s="11">
        <f>E31*G31</f>
        <v/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Stock Value</t>
        </is>
      </c>
      <c r="D1" t="inlineStr">
        <is>
          <t>Supplier</t>
        </is>
      </c>
      <c r="E1" t="inlineStr">
        <is>
          <t>Stock Value</t>
        </is>
      </c>
      <c r="G1" t="inlineStr">
        <is>
          <t>Top Product</t>
        </is>
      </c>
      <c r="H1" t="inlineStr">
        <is>
          <t>Stock Value</t>
        </is>
      </c>
      <c r="J1" t="inlineStr">
        <is>
          <t>Category</t>
        </is>
      </c>
      <c r="K1" t="inlineStr">
        <is>
          <t>Items in Stock</t>
        </is>
      </c>
    </row>
    <row r="2">
      <c r="A2" t="inlineStr">
        <is>
          <t>Electronics</t>
        </is>
      </c>
      <c r="B2">
        <f>SUMIF(Data!$B$2:$B$31,A2,Data!$H$2:$H$31)</f>
        <v/>
      </c>
      <c r="D2" t="inlineStr">
        <is>
          <t>NordSupply</t>
        </is>
      </c>
      <c r="E2">
        <f>SUMIF(Data!$D$2:$D$31,D2,Data!$H$2:$H$31)</f>
        <v/>
      </c>
      <c r="G2">
        <f>Data!C2</f>
        <v/>
      </c>
      <c r="H2">
        <f>Data!H2</f>
        <v/>
      </c>
      <c r="J2" t="inlineStr">
        <is>
          <t>Electronics</t>
        </is>
      </c>
      <c r="K2">
        <f>SUMIF(Data!$B$2:$B$31,J2,Data!$E$2:$E$31)</f>
        <v/>
      </c>
    </row>
    <row r="3">
      <c r="A3" t="inlineStr">
        <is>
          <t>Home &amp; Kitchen</t>
        </is>
      </c>
      <c r="B3">
        <f>SUMIF(Data!$B$2:$B$31,A3,Data!$H$2:$H$31)</f>
        <v/>
      </c>
      <c r="D3" t="inlineStr">
        <is>
          <t>EuroParts Trading</t>
        </is>
      </c>
      <c r="E3">
        <f>SUMIF(Data!$D$2:$D$31,D3,Data!$H$2:$H$31)</f>
        <v/>
      </c>
      <c r="G3">
        <f>Data!C3</f>
        <v/>
      </c>
      <c r="H3">
        <f>Data!H3</f>
        <v/>
      </c>
      <c r="J3" t="inlineStr">
        <is>
          <t>Home &amp; Kitchen</t>
        </is>
      </c>
      <c r="K3">
        <f>SUMIF(Data!$B$2:$B$31,J3,Data!$E$2:$E$31)</f>
        <v/>
      </c>
    </row>
    <row r="4">
      <c r="A4" t="inlineStr">
        <is>
          <t>Clothing</t>
        </is>
      </c>
      <c r="B4">
        <f>SUMIF(Data!$B$2:$B$31,A4,Data!$H$2:$H$31)</f>
        <v/>
      </c>
      <c r="D4" t="inlineStr">
        <is>
          <t>VestDistribution</t>
        </is>
      </c>
      <c r="E4">
        <f>SUMIF(Data!$D$2:$D$31,D4,Data!$H$2:$H$31)</f>
        <v/>
      </c>
      <c r="G4">
        <f>Data!C4</f>
        <v/>
      </c>
      <c r="H4">
        <f>Data!H4</f>
        <v/>
      </c>
      <c r="J4" t="inlineStr">
        <is>
          <t>Clothing</t>
        </is>
      </c>
      <c r="K4">
        <f>SUMIF(Data!$B$2:$B$31,J4,Data!$E$2:$E$31)</f>
        <v/>
      </c>
    </row>
    <row r="5">
      <c r="A5" t="inlineStr">
        <is>
          <t>Sports</t>
        </is>
      </c>
      <c r="B5">
        <f>SUMIF(Data!$B$2:$B$31,A5,Data!$H$2:$H$31)</f>
        <v/>
      </c>
      <c r="D5" t="inlineStr">
        <is>
          <t>GlobalWholesale</t>
        </is>
      </c>
      <c r="E5">
        <f>SUMIF(Data!$D$2:$D$31,D5,Data!$H$2:$H$31)</f>
        <v/>
      </c>
      <c r="G5">
        <f>Data!C5</f>
        <v/>
      </c>
      <c r="H5">
        <f>Data!H5</f>
        <v/>
      </c>
      <c r="J5" t="inlineStr">
        <is>
          <t>Sports</t>
        </is>
      </c>
      <c r="K5">
        <f>SUMIF(Data!$B$2:$B$31,J5,Data!$E$2:$E$31)</f>
        <v/>
      </c>
    </row>
    <row r="6">
      <c r="A6" t="inlineStr">
        <is>
          <t>Toys</t>
        </is>
      </c>
      <c r="B6">
        <f>SUMIF(Data!$B$2:$B$31,A6,Data!$H$2:$H$31)</f>
        <v/>
      </c>
      <c r="D6" t="inlineStr">
        <is>
          <t>MegaImport</t>
        </is>
      </c>
      <c r="E6">
        <f>SUMIF(Data!$D$2:$D$31,D6,Data!$H$2:$H$31)</f>
        <v/>
      </c>
      <c r="G6">
        <f>Data!C6</f>
        <v/>
      </c>
      <c r="H6">
        <f>Data!H6</f>
        <v/>
      </c>
      <c r="J6" t="inlineStr">
        <is>
          <t>Toys</t>
        </is>
      </c>
      <c r="K6">
        <f>SUMIF(Data!$B$2:$B$31,J6,Data!$E$2:$E$31)</f>
        <v/>
      </c>
    </row>
    <row r="7">
      <c r="G7">
        <f>Data!C7</f>
        <v/>
      </c>
      <c r="H7">
        <f>Data!H7</f>
        <v/>
      </c>
    </row>
    <row r="8">
      <c r="G8">
        <f>Data!C8</f>
        <v/>
      </c>
      <c r="H8">
        <f>Data!H8</f>
        <v/>
      </c>
    </row>
    <row r="9">
      <c r="G9">
        <f>Data!C9</f>
        <v/>
      </c>
      <c r="H9">
        <f>Data!H9</f>
        <v/>
      </c>
    </row>
    <row r="10">
      <c r="G10">
        <f>Data!C10</f>
        <v/>
      </c>
      <c r="H10">
        <f>Data!H10</f>
        <v/>
      </c>
    </row>
    <row r="11">
      <c r="G11">
        <f>Data!C11</f>
        <v/>
      </c>
      <c r="H11">
        <f>Data!H11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2026-10-04T07:20:04Z</dcterms:created>
  <dcterms:modified xmlns:dcterms="http://purl.org/dc/terms/" xmlns:xsi="http://www.w3.org/2001/XMLSchema-instance" xsi:type="dcterms:W3CDTF">2026-10-04T07:20:04Z</dcterms:modified>
</cp:coreProperties>
</file>