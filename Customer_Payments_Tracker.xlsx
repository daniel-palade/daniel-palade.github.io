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lc" sheetId="3" state="hidden" r:id="rId3"/>
  </sheets>
  <definedNames>
    <definedName name="_xlnm._FilterDatabase" localSheetId="1" hidden="1">'Data'!$A$1:$H$121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$#,##0.00"/>
    <numFmt numFmtId="167" formatCode="$#,##0"/>
    <numFmt numFmtId="168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1"/>
    </font>
    <font>
      <i val="1"/>
      <color rgb="00808080"/>
      <sz val="10"/>
    </font>
    <font>
      <b val="1"/>
      <color rgb="00FFFFFF"/>
      <sz val="10"/>
    </font>
    <font>
      <b val="1"/>
      <color rgb="009C6500"/>
      <sz val="16"/>
    </font>
    <font>
      <b val="1"/>
      <color rgb="00FFFFFF"/>
      <sz val="11"/>
    </font>
    <font>
      <b val="1"/>
      <color rgb="00FFFFFF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3B4758"/>
      </patternFill>
    </fill>
    <fill>
      <patternFill patternType="solid">
        <fgColor rgb="00FDF3D7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indent="1"/>
    </xf>
    <xf numFmtId="0" fontId="4" fillId="2" borderId="0" applyAlignment="1" pivotButton="0" quotePrefix="0" xfId="0">
      <alignment horizontal="center" vertical="center"/>
    </xf>
    <xf numFmtId="167" fontId="5" fillId="3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4" borderId="0" applyAlignment="1" pivotButton="0" quotePrefix="0" xfId="0">
      <alignment horizontal="center"/>
    </xf>
    <xf numFmtId="167" fontId="0" fillId="0" borderId="0" pivotButton="0" quotePrefix="0" xfId="0"/>
    <xf numFmtId="168" fontId="0" fillId="0" borderId="0" pivotButton="0" quotePrefix="0" xfId="0"/>
    <xf numFmtId="0" fontId="8" fillId="3" borderId="0" pivotButton="0" quotePrefix="0" xfId="0"/>
    <xf numFmtId="167" fontId="8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Amount by Status</a:t>
            </a:r>
          </a:p>
        </rich>
      </tx>
    </title>
    <plotArea>
      <doughnutChart>
        <varyColors val="1"/>
        <ser>
          <idx val="0"/>
          <order val="0"/>
          <tx>
            <strRef>
              <f>'Calc'!B1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'Calc'!$A$2:$A$4</f>
            </numRef>
          </cat>
          <val>
            <numRef>
              <f>'Calc'!$B$2:$B$4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Outstanding by Client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'Calc'!$G$2:$G$9</f>
            </numRef>
          </cat>
          <val>
            <numRef>
              <f>'Calc'!$H$2:$H$9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Invoiced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'Calc'!E1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'Calc'!$D$2:$D$10</f>
            </numRef>
          </cat>
          <val>
            <numRef>
              <f>'Calc'!$E$2:$E$10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15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15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B4758"/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💳  CUSTOMER PAYMENTS — COLLECTIONS CONTROL</t>
        </is>
      </c>
    </row>
    <row r="2"/>
    <row r="3">
      <c r="A3" s="2" t="inlineStr">
        <is>
          <t>Accounts receivable 2026 · collected vs outstanding vs overdue · status chips auto-colored in Data</t>
        </is>
      </c>
    </row>
    <row r="5" ht="20" customHeight="1">
      <c r="B5" s="3" t="inlineStr">
        <is>
          <t>TOTAL INVOICED</t>
        </is>
      </c>
      <c r="E5" s="3" t="inlineStr">
        <is>
          <t>COLLECTED</t>
        </is>
      </c>
      <c r="H5" s="3" t="inlineStr">
        <is>
          <t>OUTSTANDING</t>
        </is>
      </c>
      <c r="K5" s="3" t="inlineStr">
        <is>
          <t>OVERDUE AMOUNT</t>
        </is>
      </c>
    </row>
    <row r="6" ht="30" customHeight="1">
      <c r="B6" s="4">
        <f>SUM(Data!F2:F121)</f>
        <v/>
      </c>
      <c r="E6" s="4">
        <f>SUMIF(Data!G2:G121,"Paid",Data!F2:F121)</f>
        <v/>
      </c>
      <c r="H6" s="4">
        <f>SUM(Data!F2:F121)-SUMIF(Data!G2:G121,"Paid",Data!F2:F121)</f>
        <v/>
      </c>
      <c r="K6" s="4">
        <f>SUMIF(Data!G2:G121,"Overdue",Data!F2:F121)</f>
        <v/>
      </c>
    </row>
    <row r="8">
      <c r="B8" s="5" t="inlineStr">
        <is>
          <t>⏳  OVERDUE AGING</t>
        </is>
      </c>
    </row>
    <row r="9">
      <c r="B9" s="6" t="inlineStr">
        <is>
          <t>AGE BUCKET</t>
        </is>
      </c>
      <c r="C9" s="6" t="inlineStr">
        <is>
          <t>AMOUNT</t>
        </is>
      </c>
      <c r="D9" s="6" t="inlineStr">
        <is>
          <t>% OF OVERDUE</t>
        </is>
      </c>
    </row>
    <row r="10">
      <c r="B10">
        <f>Calc!M2</f>
        <v/>
      </c>
      <c r="C10" s="7">
        <f>Calc!N2</f>
        <v/>
      </c>
      <c r="D10" s="8">
        <f>IF(SUM(C10:C13)=0,0,C10/SUM(C$10:C$13))</f>
        <v/>
      </c>
    </row>
    <row r="11">
      <c r="B11">
        <f>Calc!M3</f>
        <v/>
      </c>
      <c r="C11" s="7">
        <f>Calc!N3</f>
        <v/>
      </c>
      <c r="D11" s="8">
        <f>IF(SUM(C10:C13)=0,0,C11/SUM(C$10:C$13))</f>
        <v/>
      </c>
    </row>
    <row r="12">
      <c r="B12">
        <f>Calc!M4</f>
        <v/>
      </c>
      <c r="C12" s="7">
        <f>Calc!N4</f>
        <v/>
      </c>
      <c r="D12" s="8">
        <f>IF(SUM(C10:C13)=0,0,C12/SUM(C$10:C$13))</f>
        <v/>
      </c>
    </row>
    <row r="13">
      <c r="B13">
        <f>Calc!M5</f>
        <v/>
      </c>
      <c r="C13" s="7">
        <f>Calc!N5</f>
        <v/>
      </c>
      <c r="D13" s="8">
        <f>IF(SUM(C10:C13)=0,0,C13/SUM(C$10:C$13))</f>
        <v/>
      </c>
    </row>
    <row r="14">
      <c r="B14" s="9" t="inlineStr">
        <is>
          <t>TOTAL</t>
        </is>
      </c>
      <c r="C14" s="10">
        <f>SUM(C10:C13)</f>
        <v/>
      </c>
      <c r="D14" s="11" t="n"/>
    </row>
  </sheetData>
  <mergeCells count="11">
    <mergeCell ref="K5:L5"/>
    <mergeCell ref="H5:I5"/>
    <mergeCell ref="E6:F6"/>
    <mergeCell ref="A1:N2"/>
    <mergeCell ref="B5:C5"/>
    <mergeCell ref="B6:C6"/>
    <mergeCell ref="K6:L6"/>
    <mergeCell ref="A3:N3"/>
    <mergeCell ref="E5:F5"/>
    <mergeCell ref="B8:D8"/>
    <mergeCell ref="H6:I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B4758"/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2" t="inlineStr">
        <is>
          <t>Invoice No</t>
        </is>
      </c>
      <c r="B1" s="12" t="inlineStr">
        <is>
          <t>Client</t>
        </is>
      </c>
      <c r="C1" s="12" t="inlineStr">
        <is>
          <t>Month</t>
        </is>
      </c>
      <c r="D1" s="12" t="inlineStr">
        <is>
          <t>Issue Date</t>
        </is>
      </c>
      <c r="E1" s="12" t="inlineStr">
        <is>
          <t>Due Date</t>
        </is>
      </c>
      <c r="F1" s="12" t="inlineStr">
        <is>
          <t>Amount</t>
        </is>
      </c>
      <c r="G1" s="12" t="inlineStr">
        <is>
          <t>Status</t>
        </is>
      </c>
      <c r="H1" s="12" t="inlineStr">
        <is>
          <t>Days Overdue</t>
        </is>
      </c>
    </row>
    <row r="2">
      <c r="A2" t="inlineStr">
        <is>
          <t>INV-2026-001</t>
        </is>
      </c>
      <c r="B2" t="inlineStr">
        <is>
          <t>Beta Media</t>
        </is>
      </c>
      <c r="C2" t="inlineStr">
        <is>
          <t>2026-07</t>
        </is>
      </c>
      <c r="D2" s="13" t="n">
        <v>46220</v>
      </c>
      <c r="E2" s="13" t="n">
        <v>46250</v>
      </c>
      <c r="F2" s="14" t="n">
        <v>1130.33</v>
      </c>
      <c r="G2" t="inlineStr">
        <is>
          <t>Paid</t>
        </is>
      </c>
      <c r="H2">
        <f>IF(G2="Overdue",DATE(2026,10,1)-E2,0)</f>
        <v/>
      </c>
    </row>
    <row r="3">
      <c r="A3" t="inlineStr">
        <is>
          <t>INV-2026-002</t>
        </is>
      </c>
      <c r="B3" t="inlineStr">
        <is>
          <t>Beta Media</t>
        </is>
      </c>
      <c r="C3" t="inlineStr">
        <is>
          <t>2026-04</t>
        </is>
      </c>
      <c r="D3" s="13" t="n">
        <v>46122</v>
      </c>
      <c r="E3" s="13" t="n">
        <v>46152</v>
      </c>
      <c r="F3" s="14" t="n">
        <v>2972.84</v>
      </c>
      <c r="G3" t="inlineStr">
        <is>
          <t>Paid</t>
        </is>
      </c>
      <c r="H3">
        <f>IF(G3="Overdue",DATE(2026,10,1)-E3,0)</f>
        <v/>
      </c>
    </row>
    <row r="4">
      <c r="A4" t="inlineStr">
        <is>
          <t>INV-2026-003</t>
        </is>
      </c>
      <c r="B4" t="inlineStr">
        <is>
          <t>Epsilon Tech</t>
        </is>
      </c>
      <c r="C4" t="inlineStr">
        <is>
          <t>2026-02</t>
        </is>
      </c>
      <c r="D4" s="13" t="n">
        <v>46059</v>
      </c>
      <c r="E4" s="13" t="n">
        <v>46089</v>
      </c>
      <c r="F4" s="14" t="n">
        <v>3559.5</v>
      </c>
      <c r="G4" t="inlineStr">
        <is>
          <t>Overdue</t>
        </is>
      </c>
      <c r="H4">
        <f>IF(G4="Overdue",DATE(2026,10,1)-E4,0)</f>
        <v/>
      </c>
    </row>
    <row r="5">
      <c r="A5" t="inlineStr">
        <is>
          <t>INV-2026-004</t>
        </is>
      </c>
      <c r="B5" t="inlineStr">
        <is>
          <t>Zeta Logistics</t>
        </is>
      </c>
      <c r="C5" t="inlineStr">
        <is>
          <t>2026-07</t>
        </is>
      </c>
      <c r="D5" s="13" t="n">
        <v>46222</v>
      </c>
      <c r="E5" s="13" t="n">
        <v>46252</v>
      </c>
      <c r="F5" s="14" t="n">
        <v>1983.94</v>
      </c>
      <c r="G5" t="inlineStr">
        <is>
          <t>Paid</t>
        </is>
      </c>
      <c r="H5">
        <f>IF(G5="Overdue",DATE(2026,10,1)-E5,0)</f>
        <v/>
      </c>
    </row>
    <row r="6">
      <c r="A6" t="inlineStr">
        <is>
          <t>INV-2026-005</t>
        </is>
      </c>
      <c r="B6" t="inlineStr">
        <is>
          <t>Gamma Retail</t>
        </is>
      </c>
      <c r="C6" t="inlineStr">
        <is>
          <t>2026-06</t>
        </is>
      </c>
      <c r="D6" s="13" t="n">
        <v>46200</v>
      </c>
      <c r="E6" s="13" t="n">
        <v>46230</v>
      </c>
      <c r="F6" s="14" t="n">
        <v>826.45</v>
      </c>
      <c r="G6" t="inlineStr">
        <is>
          <t>Paid</t>
        </is>
      </c>
      <c r="H6">
        <f>IF(G6="Overdue",DATE(2026,10,1)-E6,0)</f>
        <v/>
      </c>
    </row>
    <row r="7">
      <c r="A7" t="inlineStr">
        <is>
          <t>INV-2026-006</t>
        </is>
      </c>
      <c r="B7" t="inlineStr">
        <is>
          <t>Zeta Logistics</t>
        </is>
      </c>
      <c r="C7" t="inlineStr">
        <is>
          <t>2026-02</t>
        </is>
      </c>
      <c r="D7" s="13" t="n">
        <v>46072</v>
      </c>
      <c r="E7" s="13" t="n">
        <v>46102</v>
      </c>
      <c r="F7" s="14" t="n">
        <v>806.27</v>
      </c>
      <c r="G7" t="inlineStr">
        <is>
          <t>Paid</t>
        </is>
      </c>
      <c r="H7">
        <f>IF(G7="Overdue",DATE(2026,10,1)-E7,0)</f>
        <v/>
      </c>
    </row>
    <row r="8">
      <c r="A8" t="inlineStr">
        <is>
          <t>INV-2026-007</t>
        </is>
      </c>
      <c r="B8" t="inlineStr">
        <is>
          <t>Beta Media</t>
        </is>
      </c>
      <c r="C8" t="inlineStr">
        <is>
          <t>2026-05</t>
        </is>
      </c>
      <c r="D8" s="13" t="n">
        <v>46144</v>
      </c>
      <c r="E8" s="13" t="n">
        <v>46174</v>
      </c>
      <c r="F8" s="14" t="n">
        <v>2543.22</v>
      </c>
      <c r="G8" t="inlineStr">
        <is>
          <t>Paid</t>
        </is>
      </c>
      <c r="H8">
        <f>IF(G8="Overdue",DATE(2026,10,1)-E8,0)</f>
        <v/>
      </c>
    </row>
    <row r="9">
      <c r="A9" t="inlineStr">
        <is>
          <t>INV-2026-008</t>
        </is>
      </c>
      <c r="B9" t="inlineStr">
        <is>
          <t>Delta Foods</t>
        </is>
      </c>
      <c r="C9" t="inlineStr">
        <is>
          <t>2026-04</t>
        </is>
      </c>
      <c r="D9" s="13" t="n">
        <v>46119</v>
      </c>
      <c r="E9" s="13" t="n">
        <v>46149</v>
      </c>
      <c r="F9" s="14" t="n">
        <v>3949.83</v>
      </c>
      <c r="G9" t="inlineStr">
        <is>
          <t>Paid</t>
        </is>
      </c>
      <c r="H9">
        <f>IF(G9="Overdue",DATE(2026,10,1)-E9,0)</f>
        <v/>
      </c>
    </row>
    <row r="10">
      <c r="A10" t="inlineStr">
        <is>
          <t>INV-2026-009</t>
        </is>
      </c>
      <c r="B10" t="inlineStr">
        <is>
          <t>Eta Pharma</t>
        </is>
      </c>
      <c r="C10" t="inlineStr">
        <is>
          <t>2026-01</t>
        </is>
      </c>
      <c r="D10" s="13" t="n">
        <v>46044</v>
      </c>
      <c r="E10" s="13" t="n">
        <v>46074</v>
      </c>
      <c r="F10" s="14" t="n">
        <v>3636.35</v>
      </c>
      <c r="G10" t="inlineStr">
        <is>
          <t>Pending</t>
        </is>
      </c>
      <c r="H10">
        <f>IF(G10="Overdue",DATE(2026,10,1)-E10,0)</f>
        <v/>
      </c>
    </row>
    <row r="11">
      <c r="A11" t="inlineStr">
        <is>
          <t>INV-2026-010</t>
        </is>
      </c>
      <c r="B11" t="inlineStr">
        <is>
          <t>Theta Style</t>
        </is>
      </c>
      <c r="C11" t="inlineStr">
        <is>
          <t>2026-06</t>
        </is>
      </c>
      <c r="D11" s="13" t="n">
        <v>46185</v>
      </c>
      <c r="E11" s="13" t="n">
        <v>46215</v>
      </c>
      <c r="F11" s="14" t="n">
        <v>3072.88</v>
      </c>
      <c r="G11" t="inlineStr">
        <is>
          <t>Overdue</t>
        </is>
      </c>
      <c r="H11">
        <f>IF(G11="Overdue",DATE(2026,10,1)-E11,0)</f>
        <v/>
      </c>
    </row>
    <row r="12">
      <c r="A12" t="inlineStr">
        <is>
          <t>INV-2026-011</t>
        </is>
      </c>
      <c r="B12" t="inlineStr">
        <is>
          <t>Theta Style</t>
        </is>
      </c>
      <c r="C12" t="inlineStr">
        <is>
          <t>2026-09</t>
        </is>
      </c>
      <c r="D12" s="13" t="n">
        <v>46270</v>
      </c>
      <c r="E12" s="13" t="n">
        <v>46300</v>
      </c>
      <c r="F12" s="14" t="n">
        <v>4969.5</v>
      </c>
      <c r="G12" t="inlineStr">
        <is>
          <t>Paid</t>
        </is>
      </c>
      <c r="H12">
        <f>IF(G12="Overdue",DATE(2026,10,1)-E12,0)</f>
        <v/>
      </c>
    </row>
    <row r="13">
      <c r="A13" t="inlineStr">
        <is>
          <t>INV-2026-012</t>
        </is>
      </c>
      <c r="B13" t="inlineStr">
        <is>
          <t>Alfa Construct</t>
        </is>
      </c>
      <c r="C13" t="inlineStr">
        <is>
          <t>2026-06</t>
        </is>
      </c>
      <c r="D13" s="13" t="n">
        <v>46193</v>
      </c>
      <c r="E13" s="13" t="n">
        <v>46223</v>
      </c>
      <c r="F13" s="14" t="n">
        <v>1606.46</v>
      </c>
      <c r="G13" t="inlineStr">
        <is>
          <t>Overdue</t>
        </is>
      </c>
      <c r="H13">
        <f>IF(G13="Overdue",DATE(2026,10,1)-E13,0)</f>
        <v/>
      </c>
    </row>
    <row r="14">
      <c r="A14" t="inlineStr">
        <is>
          <t>INV-2026-013</t>
        </is>
      </c>
      <c r="B14" t="inlineStr">
        <is>
          <t>Epsilon Tech</t>
        </is>
      </c>
      <c r="C14" t="inlineStr">
        <is>
          <t>2026-01</t>
        </is>
      </c>
      <c r="D14" s="13" t="n">
        <v>46030</v>
      </c>
      <c r="E14" s="13" t="n">
        <v>46060</v>
      </c>
      <c r="F14" s="14" t="n">
        <v>4974.93</v>
      </c>
      <c r="G14" t="inlineStr">
        <is>
          <t>Pending</t>
        </is>
      </c>
      <c r="H14">
        <f>IF(G14="Overdue",DATE(2026,10,1)-E14,0)</f>
        <v/>
      </c>
    </row>
    <row r="15">
      <c r="A15" t="inlineStr">
        <is>
          <t>INV-2026-014</t>
        </is>
      </c>
      <c r="B15" t="inlineStr">
        <is>
          <t>Beta Media</t>
        </is>
      </c>
      <c r="C15" t="inlineStr">
        <is>
          <t>2026-06</t>
        </is>
      </c>
      <c r="D15" s="13" t="n">
        <v>46192</v>
      </c>
      <c r="E15" s="13" t="n">
        <v>46222</v>
      </c>
      <c r="F15" s="14" t="n">
        <v>1996.43</v>
      </c>
      <c r="G15" t="inlineStr">
        <is>
          <t>Paid</t>
        </is>
      </c>
      <c r="H15">
        <f>IF(G15="Overdue",DATE(2026,10,1)-E15,0)</f>
        <v/>
      </c>
    </row>
    <row r="16">
      <c r="A16" t="inlineStr">
        <is>
          <t>INV-2026-015</t>
        </is>
      </c>
      <c r="B16" t="inlineStr">
        <is>
          <t>Alfa Construct</t>
        </is>
      </c>
      <c r="C16" t="inlineStr">
        <is>
          <t>2026-02</t>
        </is>
      </c>
      <c r="D16" s="13" t="n">
        <v>46080</v>
      </c>
      <c r="E16" s="13" t="n">
        <v>46110</v>
      </c>
      <c r="F16" s="14" t="n">
        <v>4994.92</v>
      </c>
      <c r="G16" t="inlineStr">
        <is>
          <t>Paid</t>
        </is>
      </c>
      <c r="H16">
        <f>IF(G16="Overdue",DATE(2026,10,1)-E16,0)</f>
        <v/>
      </c>
    </row>
    <row r="17">
      <c r="A17" t="inlineStr">
        <is>
          <t>INV-2026-016</t>
        </is>
      </c>
      <c r="B17" t="inlineStr">
        <is>
          <t>Beta Media</t>
        </is>
      </c>
      <c r="C17" t="inlineStr">
        <is>
          <t>2026-01</t>
        </is>
      </c>
      <c r="D17" s="13" t="n">
        <v>46044</v>
      </c>
      <c r="E17" s="13" t="n">
        <v>46074</v>
      </c>
      <c r="F17" s="14" t="n">
        <v>970.61</v>
      </c>
      <c r="G17" t="inlineStr">
        <is>
          <t>Paid</t>
        </is>
      </c>
      <c r="H17">
        <f>IF(G17="Overdue",DATE(2026,10,1)-E17,0)</f>
        <v/>
      </c>
    </row>
    <row r="18">
      <c r="A18" t="inlineStr">
        <is>
          <t>INV-2026-017</t>
        </is>
      </c>
      <c r="B18" t="inlineStr">
        <is>
          <t>Beta Media</t>
        </is>
      </c>
      <c r="C18" t="inlineStr">
        <is>
          <t>2026-01</t>
        </is>
      </c>
      <c r="D18" s="13" t="n">
        <v>46042</v>
      </c>
      <c r="E18" s="13" t="n">
        <v>46072</v>
      </c>
      <c r="F18" s="14" t="n">
        <v>1578.63</v>
      </c>
      <c r="G18" t="inlineStr">
        <is>
          <t>Paid</t>
        </is>
      </c>
      <c r="H18">
        <f>IF(G18="Overdue",DATE(2026,10,1)-E18,0)</f>
        <v/>
      </c>
    </row>
    <row r="19">
      <c r="A19" t="inlineStr">
        <is>
          <t>INV-2026-018</t>
        </is>
      </c>
      <c r="B19" t="inlineStr">
        <is>
          <t>Delta Foods</t>
        </is>
      </c>
      <c r="C19" t="inlineStr">
        <is>
          <t>2026-01</t>
        </is>
      </c>
      <c r="D19" s="13" t="n">
        <v>46036</v>
      </c>
      <c r="E19" s="13" t="n">
        <v>46066</v>
      </c>
      <c r="F19" s="14" t="n">
        <v>4332.84</v>
      </c>
      <c r="G19" t="inlineStr">
        <is>
          <t>Paid</t>
        </is>
      </c>
      <c r="H19">
        <f>IF(G19="Overdue",DATE(2026,10,1)-E19,0)</f>
        <v/>
      </c>
    </row>
    <row r="20">
      <c r="A20" t="inlineStr">
        <is>
          <t>INV-2026-019</t>
        </is>
      </c>
      <c r="B20" t="inlineStr">
        <is>
          <t>Epsilon Tech</t>
        </is>
      </c>
      <c r="C20" t="inlineStr">
        <is>
          <t>2026-01</t>
        </is>
      </c>
      <c r="D20" s="13" t="n">
        <v>46031</v>
      </c>
      <c r="E20" s="13" t="n">
        <v>46061</v>
      </c>
      <c r="F20" s="14" t="n">
        <v>4875.83</v>
      </c>
      <c r="G20" t="inlineStr">
        <is>
          <t>Paid</t>
        </is>
      </c>
      <c r="H20">
        <f>IF(G20="Overdue",DATE(2026,10,1)-E20,0)</f>
        <v/>
      </c>
    </row>
    <row r="21">
      <c r="A21" t="inlineStr">
        <is>
          <t>INV-2026-020</t>
        </is>
      </c>
      <c r="B21" t="inlineStr">
        <is>
          <t>Zeta Logistics</t>
        </is>
      </c>
      <c r="C21" t="inlineStr">
        <is>
          <t>2026-09</t>
        </is>
      </c>
      <c r="D21" s="13" t="n">
        <v>46290</v>
      </c>
      <c r="E21" s="13" t="n">
        <v>46320</v>
      </c>
      <c r="F21" s="14" t="n">
        <v>2867.81</v>
      </c>
      <c r="G21" t="inlineStr">
        <is>
          <t>Paid</t>
        </is>
      </c>
      <c r="H21">
        <f>IF(G21="Overdue",DATE(2026,10,1)-E21,0)</f>
        <v/>
      </c>
    </row>
    <row r="22">
      <c r="A22" t="inlineStr">
        <is>
          <t>INV-2026-021</t>
        </is>
      </c>
      <c r="B22" t="inlineStr">
        <is>
          <t>Epsilon Tech</t>
        </is>
      </c>
      <c r="C22" t="inlineStr">
        <is>
          <t>2026-08</t>
        </is>
      </c>
      <c r="D22" s="13" t="n">
        <v>46237</v>
      </c>
      <c r="E22" s="13" t="n">
        <v>46267</v>
      </c>
      <c r="F22" s="14" t="n">
        <v>2185.46</v>
      </c>
      <c r="G22" t="inlineStr">
        <is>
          <t>Paid</t>
        </is>
      </c>
      <c r="H22">
        <f>IF(G22="Overdue",DATE(2026,10,1)-E22,0)</f>
        <v/>
      </c>
    </row>
    <row r="23">
      <c r="A23" t="inlineStr">
        <is>
          <t>INV-2026-022</t>
        </is>
      </c>
      <c r="B23" t="inlineStr">
        <is>
          <t>Theta Style</t>
        </is>
      </c>
      <c r="C23" t="inlineStr">
        <is>
          <t>2026-05</t>
        </is>
      </c>
      <c r="D23" s="13" t="n">
        <v>46160</v>
      </c>
      <c r="E23" s="13" t="n">
        <v>46190</v>
      </c>
      <c r="F23" s="14" t="n">
        <v>642.03</v>
      </c>
      <c r="G23" t="inlineStr">
        <is>
          <t>Pending</t>
        </is>
      </c>
      <c r="H23">
        <f>IF(G23="Overdue",DATE(2026,10,1)-E23,0)</f>
        <v/>
      </c>
    </row>
    <row r="24">
      <c r="A24" t="inlineStr">
        <is>
          <t>INV-2026-023</t>
        </is>
      </c>
      <c r="B24" t="inlineStr">
        <is>
          <t>Gamma Retail</t>
        </is>
      </c>
      <c r="C24" t="inlineStr">
        <is>
          <t>2026-05</t>
        </is>
      </c>
      <c r="D24" s="13" t="n">
        <v>46147</v>
      </c>
      <c r="E24" s="13" t="n">
        <v>46177</v>
      </c>
      <c r="F24" s="14" t="n">
        <v>649.49</v>
      </c>
      <c r="G24" t="inlineStr">
        <is>
          <t>Pending</t>
        </is>
      </c>
      <c r="H24">
        <f>IF(G24="Overdue",DATE(2026,10,1)-E24,0)</f>
        <v/>
      </c>
    </row>
    <row r="25">
      <c r="A25" t="inlineStr">
        <is>
          <t>INV-2026-024</t>
        </is>
      </c>
      <c r="B25" t="inlineStr">
        <is>
          <t>Theta Style</t>
        </is>
      </c>
      <c r="C25" t="inlineStr">
        <is>
          <t>2026-08</t>
        </is>
      </c>
      <c r="D25" s="13" t="n">
        <v>46247</v>
      </c>
      <c r="E25" s="13" t="n">
        <v>46277</v>
      </c>
      <c r="F25" s="14" t="n">
        <v>695.87</v>
      </c>
      <c r="G25" t="inlineStr">
        <is>
          <t>Paid</t>
        </is>
      </c>
      <c r="H25">
        <f>IF(G25="Overdue",DATE(2026,10,1)-E25,0)</f>
        <v/>
      </c>
    </row>
    <row r="26">
      <c r="A26" t="inlineStr">
        <is>
          <t>INV-2026-025</t>
        </is>
      </c>
      <c r="B26" t="inlineStr">
        <is>
          <t>Zeta Logistics</t>
        </is>
      </c>
      <c r="C26" t="inlineStr">
        <is>
          <t>2026-03</t>
        </is>
      </c>
      <c r="D26" s="13" t="n">
        <v>46090</v>
      </c>
      <c r="E26" s="13" t="n">
        <v>46120</v>
      </c>
      <c r="F26" s="14" t="n">
        <v>1442.72</v>
      </c>
      <c r="G26" t="inlineStr">
        <is>
          <t>Overdue</t>
        </is>
      </c>
      <c r="H26">
        <f>IF(G26="Overdue",DATE(2026,10,1)-E26,0)</f>
        <v/>
      </c>
    </row>
    <row r="27">
      <c r="A27" t="inlineStr">
        <is>
          <t>INV-2026-026</t>
        </is>
      </c>
      <c r="B27" t="inlineStr">
        <is>
          <t>Epsilon Tech</t>
        </is>
      </c>
      <c r="C27" t="inlineStr">
        <is>
          <t>2026-04</t>
        </is>
      </c>
      <c r="D27" s="13" t="n">
        <v>46130</v>
      </c>
      <c r="E27" s="13" t="n">
        <v>46160</v>
      </c>
      <c r="F27" s="14" t="n">
        <v>4361.69</v>
      </c>
      <c r="G27" t="inlineStr">
        <is>
          <t>Paid</t>
        </is>
      </c>
      <c r="H27">
        <f>IF(G27="Overdue",DATE(2026,10,1)-E27,0)</f>
        <v/>
      </c>
    </row>
    <row r="28">
      <c r="A28" t="inlineStr">
        <is>
          <t>INV-2026-027</t>
        </is>
      </c>
      <c r="B28" t="inlineStr">
        <is>
          <t>Delta Foods</t>
        </is>
      </c>
      <c r="C28" t="inlineStr">
        <is>
          <t>2026-03</t>
        </is>
      </c>
      <c r="D28" s="13" t="n">
        <v>46096</v>
      </c>
      <c r="E28" s="13" t="n">
        <v>46126</v>
      </c>
      <c r="F28" s="14" t="n">
        <v>4649.84</v>
      </c>
      <c r="G28" t="inlineStr">
        <is>
          <t>Paid</t>
        </is>
      </c>
      <c r="H28">
        <f>IF(G28="Overdue",DATE(2026,10,1)-E28,0)</f>
        <v/>
      </c>
    </row>
    <row r="29">
      <c r="A29" t="inlineStr">
        <is>
          <t>INV-2026-028</t>
        </is>
      </c>
      <c r="B29" t="inlineStr">
        <is>
          <t>Zeta Logistics</t>
        </is>
      </c>
      <c r="C29" t="inlineStr">
        <is>
          <t>2026-06</t>
        </is>
      </c>
      <c r="D29" s="13" t="n">
        <v>46190</v>
      </c>
      <c r="E29" s="13" t="n">
        <v>46220</v>
      </c>
      <c r="F29" s="14" t="n">
        <v>4592.67</v>
      </c>
      <c r="G29" t="inlineStr">
        <is>
          <t>Paid</t>
        </is>
      </c>
      <c r="H29">
        <f>IF(G29="Overdue",DATE(2026,10,1)-E29,0)</f>
        <v/>
      </c>
    </row>
    <row r="30">
      <c r="A30" t="inlineStr">
        <is>
          <t>INV-2026-029</t>
        </is>
      </c>
      <c r="B30" t="inlineStr">
        <is>
          <t>Eta Pharma</t>
        </is>
      </c>
      <c r="C30" t="inlineStr">
        <is>
          <t>2026-03</t>
        </is>
      </c>
      <c r="D30" s="13" t="n">
        <v>46082</v>
      </c>
      <c r="E30" s="13" t="n">
        <v>46112</v>
      </c>
      <c r="F30" s="14" t="n">
        <v>4708.6</v>
      </c>
      <c r="G30" t="inlineStr">
        <is>
          <t>Paid</t>
        </is>
      </c>
      <c r="H30">
        <f>IF(G30="Overdue",DATE(2026,10,1)-E30,0)</f>
        <v/>
      </c>
    </row>
    <row r="31">
      <c r="A31" t="inlineStr">
        <is>
          <t>INV-2026-030</t>
        </is>
      </c>
      <c r="B31" t="inlineStr">
        <is>
          <t>Theta Style</t>
        </is>
      </c>
      <c r="C31" t="inlineStr">
        <is>
          <t>2026-07</t>
        </is>
      </c>
      <c r="D31" s="13" t="n">
        <v>46216</v>
      </c>
      <c r="E31" s="13" t="n">
        <v>46246</v>
      </c>
      <c r="F31" s="14" t="n">
        <v>1332.67</v>
      </c>
      <c r="G31" t="inlineStr">
        <is>
          <t>Paid</t>
        </is>
      </c>
      <c r="H31">
        <f>IF(G31="Overdue",DATE(2026,10,1)-E31,0)</f>
        <v/>
      </c>
    </row>
    <row r="32">
      <c r="A32" t="inlineStr">
        <is>
          <t>INV-2026-031</t>
        </is>
      </c>
      <c r="B32" t="inlineStr">
        <is>
          <t>Alfa Construct</t>
        </is>
      </c>
      <c r="C32" t="inlineStr">
        <is>
          <t>2026-03</t>
        </is>
      </c>
      <c r="D32" s="13" t="n">
        <v>46104</v>
      </c>
      <c r="E32" s="13" t="n">
        <v>46134</v>
      </c>
      <c r="F32" s="14" t="n">
        <v>1868.66</v>
      </c>
      <c r="G32" t="inlineStr">
        <is>
          <t>Paid</t>
        </is>
      </c>
      <c r="H32">
        <f>IF(G32="Overdue",DATE(2026,10,1)-E32,0)</f>
        <v/>
      </c>
    </row>
    <row r="33">
      <c r="A33" t="inlineStr">
        <is>
          <t>INV-2026-032</t>
        </is>
      </c>
      <c r="B33" t="inlineStr">
        <is>
          <t>Gamma Retail</t>
        </is>
      </c>
      <c r="C33" t="inlineStr">
        <is>
          <t>2026-01</t>
        </is>
      </c>
      <c r="D33" s="13" t="n">
        <v>46040</v>
      </c>
      <c r="E33" s="13" t="n">
        <v>46070</v>
      </c>
      <c r="F33" s="14" t="n">
        <v>1082.8</v>
      </c>
      <c r="G33" t="inlineStr">
        <is>
          <t>Paid</t>
        </is>
      </c>
      <c r="H33">
        <f>IF(G33="Overdue",DATE(2026,10,1)-E33,0)</f>
        <v/>
      </c>
    </row>
    <row r="34">
      <c r="A34" t="inlineStr">
        <is>
          <t>INV-2026-033</t>
        </is>
      </c>
      <c r="B34" t="inlineStr">
        <is>
          <t>Beta Media</t>
        </is>
      </c>
      <c r="C34" t="inlineStr">
        <is>
          <t>2026-09</t>
        </is>
      </c>
      <c r="D34" s="13" t="n">
        <v>46266</v>
      </c>
      <c r="E34" s="13" t="n">
        <v>46296</v>
      </c>
      <c r="F34" s="14" t="n">
        <v>2139.47</v>
      </c>
      <c r="G34" t="inlineStr">
        <is>
          <t>Paid</t>
        </is>
      </c>
      <c r="H34">
        <f>IF(G34="Overdue",DATE(2026,10,1)-E34,0)</f>
        <v/>
      </c>
    </row>
    <row r="35">
      <c r="A35" t="inlineStr">
        <is>
          <t>INV-2026-034</t>
        </is>
      </c>
      <c r="B35" t="inlineStr">
        <is>
          <t>Epsilon Tech</t>
        </is>
      </c>
      <c r="C35" t="inlineStr">
        <is>
          <t>2026-09</t>
        </is>
      </c>
      <c r="D35" s="13" t="n">
        <v>46267</v>
      </c>
      <c r="E35" s="13" t="n">
        <v>46297</v>
      </c>
      <c r="F35" s="14" t="n">
        <v>2193.29</v>
      </c>
      <c r="G35" t="inlineStr">
        <is>
          <t>Paid</t>
        </is>
      </c>
      <c r="H35">
        <f>IF(G35="Overdue",DATE(2026,10,1)-E35,0)</f>
        <v/>
      </c>
    </row>
    <row r="36">
      <c r="A36" t="inlineStr">
        <is>
          <t>INV-2026-035</t>
        </is>
      </c>
      <c r="B36" t="inlineStr">
        <is>
          <t>Beta Media</t>
        </is>
      </c>
      <c r="C36" t="inlineStr">
        <is>
          <t>2026-05</t>
        </is>
      </c>
      <c r="D36" s="13" t="n">
        <v>46169</v>
      </c>
      <c r="E36" s="13" t="n">
        <v>46199</v>
      </c>
      <c r="F36" s="14" t="n">
        <v>1812.6</v>
      </c>
      <c r="G36" t="inlineStr">
        <is>
          <t>Paid</t>
        </is>
      </c>
      <c r="H36">
        <f>IF(G36="Overdue",DATE(2026,10,1)-E36,0)</f>
        <v/>
      </c>
    </row>
    <row r="37">
      <c r="A37" t="inlineStr">
        <is>
          <t>INV-2026-036</t>
        </is>
      </c>
      <c r="B37" t="inlineStr">
        <is>
          <t>Epsilon Tech</t>
        </is>
      </c>
      <c r="C37" t="inlineStr">
        <is>
          <t>2026-06</t>
        </is>
      </c>
      <c r="D37" s="13" t="n">
        <v>46194</v>
      </c>
      <c r="E37" s="13" t="n">
        <v>46224</v>
      </c>
      <c r="F37" s="14" t="n">
        <v>376.64</v>
      </c>
      <c r="G37" t="inlineStr">
        <is>
          <t>Paid</t>
        </is>
      </c>
      <c r="H37">
        <f>IF(G37="Overdue",DATE(2026,10,1)-E37,0)</f>
        <v/>
      </c>
    </row>
    <row r="38">
      <c r="A38" t="inlineStr">
        <is>
          <t>INV-2026-037</t>
        </is>
      </c>
      <c r="B38" t="inlineStr">
        <is>
          <t>Gamma Retail</t>
        </is>
      </c>
      <c r="C38" t="inlineStr">
        <is>
          <t>2026-04</t>
        </is>
      </c>
      <c r="D38" s="13" t="n">
        <v>46116</v>
      </c>
      <c r="E38" s="13" t="n">
        <v>46146</v>
      </c>
      <c r="F38" s="14" t="n">
        <v>653.77</v>
      </c>
      <c r="G38" t="inlineStr">
        <is>
          <t>Paid</t>
        </is>
      </c>
      <c r="H38">
        <f>IF(G38="Overdue",DATE(2026,10,1)-E38,0)</f>
        <v/>
      </c>
    </row>
    <row r="39">
      <c r="A39" t="inlineStr">
        <is>
          <t>INV-2026-038</t>
        </is>
      </c>
      <c r="B39" t="inlineStr">
        <is>
          <t>Gamma Retail</t>
        </is>
      </c>
      <c r="C39" t="inlineStr">
        <is>
          <t>2026-09</t>
        </is>
      </c>
      <c r="D39" s="13" t="n">
        <v>46269</v>
      </c>
      <c r="E39" s="13" t="n">
        <v>46299</v>
      </c>
      <c r="F39" s="14" t="n">
        <v>4511.98</v>
      </c>
      <c r="G39" t="inlineStr">
        <is>
          <t>Paid</t>
        </is>
      </c>
      <c r="H39">
        <f>IF(G39="Overdue",DATE(2026,10,1)-E39,0)</f>
        <v/>
      </c>
    </row>
    <row r="40">
      <c r="A40" t="inlineStr">
        <is>
          <t>INV-2026-039</t>
        </is>
      </c>
      <c r="B40" t="inlineStr">
        <is>
          <t>Delta Foods</t>
        </is>
      </c>
      <c r="C40" t="inlineStr">
        <is>
          <t>2026-05</t>
        </is>
      </c>
      <c r="D40" s="13" t="n">
        <v>46155</v>
      </c>
      <c r="E40" s="13" t="n">
        <v>46185</v>
      </c>
      <c r="F40" s="14" t="n">
        <v>3051.01</v>
      </c>
      <c r="G40" t="inlineStr">
        <is>
          <t>Overdue</t>
        </is>
      </c>
      <c r="H40">
        <f>IF(G40="Overdue",DATE(2026,10,1)-E40,0)</f>
        <v/>
      </c>
    </row>
    <row r="41">
      <c r="A41" t="inlineStr">
        <is>
          <t>INV-2026-040</t>
        </is>
      </c>
      <c r="B41" t="inlineStr">
        <is>
          <t>Eta Pharma</t>
        </is>
      </c>
      <c r="C41" t="inlineStr">
        <is>
          <t>2026-03</t>
        </is>
      </c>
      <c r="D41" s="13" t="n">
        <v>46091</v>
      </c>
      <c r="E41" s="13" t="n">
        <v>46121</v>
      </c>
      <c r="F41" s="14" t="n">
        <v>3911.07</v>
      </c>
      <c r="G41" t="inlineStr">
        <is>
          <t>Paid</t>
        </is>
      </c>
      <c r="H41">
        <f>IF(G41="Overdue",DATE(2026,10,1)-E41,0)</f>
        <v/>
      </c>
    </row>
    <row r="42">
      <c r="A42" t="inlineStr">
        <is>
          <t>INV-2026-041</t>
        </is>
      </c>
      <c r="B42" t="inlineStr">
        <is>
          <t>Theta Style</t>
        </is>
      </c>
      <c r="C42" t="inlineStr">
        <is>
          <t>2026-03</t>
        </is>
      </c>
      <c r="D42" s="13" t="n">
        <v>46103</v>
      </c>
      <c r="E42" s="13" t="n">
        <v>46133</v>
      </c>
      <c r="F42" s="14" t="n">
        <v>1139.98</v>
      </c>
      <c r="G42" t="inlineStr">
        <is>
          <t>Pending</t>
        </is>
      </c>
      <c r="H42">
        <f>IF(G42="Overdue",DATE(2026,10,1)-E42,0)</f>
        <v/>
      </c>
    </row>
    <row r="43">
      <c r="A43" t="inlineStr">
        <is>
          <t>INV-2026-042</t>
        </is>
      </c>
      <c r="B43" t="inlineStr">
        <is>
          <t>Epsilon Tech</t>
        </is>
      </c>
      <c r="C43" t="inlineStr">
        <is>
          <t>2026-08</t>
        </is>
      </c>
      <c r="D43" s="13" t="n">
        <v>46250</v>
      </c>
      <c r="E43" s="13" t="n">
        <v>46280</v>
      </c>
      <c r="F43" s="14" t="n">
        <v>3537.08</v>
      </c>
      <c r="G43" t="inlineStr">
        <is>
          <t>Paid</t>
        </is>
      </c>
      <c r="H43">
        <f>IF(G43="Overdue",DATE(2026,10,1)-E43,0)</f>
        <v/>
      </c>
    </row>
    <row r="44">
      <c r="A44" t="inlineStr">
        <is>
          <t>INV-2026-043</t>
        </is>
      </c>
      <c r="B44" t="inlineStr">
        <is>
          <t>Theta Style</t>
        </is>
      </c>
      <c r="C44" t="inlineStr">
        <is>
          <t>2026-08</t>
        </is>
      </c>
      <c r="D44" s="13" t="n">
        <v>46250</v>
      </c>
      <c r="E44" s="13" t="n">
        <v>46280</v>
      </c>
      <c r="F44" s="14" t="n">
        <v>2450.76</v>
      </c>
      <c r="G44" t="inlineStr">
        <is>
          <t>Pending</t>
        </is>
      </c>
      <c r="H44">
        <f>IF(G44="Overdue",DATE(2026,10,1)-E44,0)</f>
        <v/>
      </c>
    </row>
    <row r="45">
      <c r="A45" t="inlineStr">
        <is>
          <t>INV-2026-044</t>
        </is>
      </c>
      <c r="B45" t="inlineStr">
        <is>
          <t>Delta Foods</t>
        </is>
      </c>
      <c r="C45" t="inlineStr">
        <is>
          <t>2026-05</t>
        </is>
      </c>
      <c r="D45" s="13" t="n">
        <v>46161</v>
      </c>
      <c r="E45" s="13" t="n">
        <v>46191</v>
      </c>
      <c r="F45" s="14" t="n">
        <v>2557.56</v>
      </c>
      <c r="G45" t="inlineStr">
        <is>
          <t>Paid</t>
        </is>
      </c>
      <c r="H45">
        <f>IF(G45="Overdue",DATE(2026,10,1)-E45,0)</f>
        <v/>
      </c>
    </row>
    <row r="46">
      <c r="A46" t="inlineStr">
        <is>
          <t>INV-2026-045</t>
        </is>
      </c>
      <c r="B46" t="inlineStr">
        <is>
          <t>Delta Foods</t>
        </is>
      </c>
      <c r="C46" t="inlineStr">
        <is>
          <t>2026-03</t>
        </is>
      </c>
      <c r="D46" s="13" t="n">
        <v>46093</v>
      </c>
      <c r="E46" s="13" t="n">
        <v>46123</v>
      </c>
      <c r="F46" s="14" t="n">
        <v>2295.52</v>
      </c>
      <c r="G46" t="inlineStr">
        <is>
          <t>Paid</t>
        </is>
      </c>
      <c r="H46">
        <f>IF(G46="Overdue",DATE(2026,10,1)-E46,0)</f>
        <v/>
      </c>
    </row>
    <row r="47">
      <c r="A47" t="inlineStr">
        <is>
          <t>INV-2026-046</t>
        </is>
      </c>
      <c r="B47" t="inlineStr">
        <is>
          <t>Eta Pharma</t>
        </is>
      </c>
      <c r="C47" t="inlineStr">
        <is>
          <t>2026-05</t>
        </is>
      </c>
      <c r="D47" s="13" t="n">
        <v>46144</v>
      </c>
      <c r="E47" s="13" t="n">
        <v>46174</v>
      </c>
      <c r="F47" s="14" t="n">
        <v>757.48</v>
      </c>
      <c r="G47" t="inlineStr">
        <is>
          <t>Pending</t>
        </is>
      </c>
      <c r="H47">
        <f>IF(G47="Overdue",DATE(2026,10,1)-E47,0)</f>
        <v/>
      </c>
    </row>
    <row r="48">
      <c r="A48" t="inlineStr">
        <is>
          <t>INV-2026-047</t>
        </is>
      </c>
      <c r="B48" t="inlineStr">
        <is>
          <t>Alfa Construct</t>
        </is>
      </c>
      <c r="C48" t="inlineStr">
        <is>
          <t>2026-04</t>
        </is>
      </c>
      <c r="D48" s="13" t="n">
        <v>46138</v>
      </c>
      <c r="E48" s="13" t="n">
        <v>46168</v>
      </c>
      <c r="F48" s="14" t="n">
        <v>1112.18</v>
      </c>
      <c r="G48" t="inlineStr">
        <is>
          <t>Paid</t>
        </is>
      </c>
      <c r="H48">
        <f>IF(G48="Overdue",DATE(2026,10,1)-E48,0)</f>
        <v/>
      </c>
    </row>
    <row r="49">
      <c r="A49" t="inlineStr">
        <is>
          <t>INV-2026-048</t>
        </is>
      </c>
      <c r="B49" t="inlineStr">
        <is>
          <t>Zeta Logistics</t>
        </is>
      </c>
      <c r="C49" t="inlineStr">
        <is>
          <t>2026-04</t>
        </is>
      </c>
      <c r="D49" s="13" t="n">
        <v>46134</v>
      </c>
      <c r="E49" s="13" t="n">
        <v>46164</v>
      </c>
      <c r="F49" s="14" t="n">
        <v>2385.14</v>
      </c>
      <c r="G49" t="inlineStr">
        <is>
          <t>Paid</t>
        </is>
      </c>
      <c r="H49">
        <f>IF(G49="Overdue",DATE(2026,10,1)-E49,0)</f>
        <v/>
      </c>
    </row>
    <row r="50">
      <c r="A50" t="inlineStr">
        <is>
          <t>INV-2026-049</t>
        </is>
      </c>
      <c r="B50" t="inlineStr">
        <is>
          <t>Epsilon Tech</t>
        </is>
      </c>
      <c r="C50" t="inlineStr">
        <is>
          <t>2026-01</t>
        </is>
      </c>
      <c r="D50" s="13" t="n">
        <v>46041</v>
      </c>
      <c r="E50" s="13" t="n">
        <v>46071</v>
      </c>
      <c r="F50" s="14" t="n">
        <v>1090.13</v>
      </c>
      <c r="G50" t="inlineStr">
        <is>
          <t>Paid</t>
        </is>
      </c>
      <c r="H50">
        <f>IF(G50="Overdue",DATE(2026,10,1)-E50,0)</f>
        <v/>
      </c>
    </row>
    <row r="51">
      <c r="A51" t="inlineStr">
        <is>
          <t>INV-2026-050</t>
        </is>
      </c>
      <c r="B51" t="inlineStr">
        <is>
          <t>Alfa Construct</t>
        </is>
      </c>
      <c r="C51" t="inlineStr">
        <is>
          <t>2026-04</t>
        </is>
      </c>
      <c r="D51" s="13" t="n">
        <v>46137</v>
      </c>
      <c r="E51" s="13" t="n">
        <v>46167</v>
      </c>
      <c r="F51" s="14" t="n">
        <v>4730.51</v>
      </c>
      <c r="G51" t="inlineStr">
        <is>
          <t>Paid</t>
        </is>
      </c>
      <c r="H51">
        <f>IF(G51="Overdue",DATE(2026,10,1)-E51,0)</f>
        <v/>
      </c>
    </row>
    <row r="52">
      <c r="A52" t="inlineStr">
        <is>
          <t>INV-2026-051</t>
        </is>
      </c>
      <c r="B52" t="inlineStr">
        <is>
          <t>Theta Style</t>
        </is>
      </c>
      <c r="C52" t="inlineStr">
        <is>
          <t>2026-03</t>
        </is>
      </c>
      <c r="D52" s="13" t="n">
        <v>46083</v>
      </c>
      <c r="E52" s="13" t="n">
        <v>46113</v>
      </c>
      <c r="F52" s="14" t="n">
        <v>528.11</v>
      </c>
      <c r="G52" t="inlineStr">
        <is>
          <t>Overdue</t>
        </is>
      </c>
      <c r="H52">
        <f>IF(G52="Overdue",DATE(2026,10,1)-E52,0)</f>
        <v/>
      </c>
    </row>
    <row r="53">
      <c r="A53" t="inlineStr">
        <is>
          <t>INV-2026-052</t>
        </is>
      </c>
      <c r="B53" t="inlineStr">
        <is>
          <t>Gamma Retail</t>
        </is>
      </c>
      <c r="C53" t="inlineStr">
        <is>
          <t>2026-02</t>
        </is>
      </c>
      <c r="D53" s="13" t="n">
        <v>46063</v>
      </c>
      <c r="E53" s="13" t="n">
        <v>46093</v>
      </c>
      <c r="F53" s="14" t="n">
        <v>2370.21</v>
      </c>
      <c r="G53" t="inlineStr">
        <is>
          <t>Paid</t>
        </is>
      </c>
      <c r="H53">
        <f>IF(G53="Overdue",DATE(2026,10,1)-E53,0)</f>
        <v/>
      </c>
    </row>
    <row r="54">
      <c r="A54" t="inlineStr">
        <is>
          <t>INV-2026-053</t>
        </is>
      </c>
      <c r="B54" t="inlineStr">
        <is>
          <t>Zeta Logistics</t>
        </is>
      </c>
      <c r="C54" t="inlineStr">
        <is>
          <t>2026-01</t>
        </is>
      </c>
      <c r="D54" s="13" t="n">
        <v>46030</v>
      </c>
      <c r="E54" s="13" t="n">
        <v>46060</v>
      </c>
      <c r="F54" s="14" t="n">
        <v>662.85</v>
      </c>
      <c r="G54" t="inlineStr">
        <is>
          <t>Paid</t>
        </is>
      </c>
      <c r="H54">
        <f>IF(G54="Overdue",DATE(2026,10,1)-E54,0)</f>
        <v/>
      </c>
    </row>
    <row r="55">
      <c r="A55" t="inlineStr">
        <is>
          <t>INV-2026-054</t>
        </is>
      </c>
      <c r="B55" t="inlineStr">
        <is>
          <t>Zeta Logistics</t>
        </is>
      </c>
      <c r="C55" t="inlineStr">
        <is>
          <t>2026-01</t>
        </is>
      </c>
      <c r="D55" s="13" t="n">
        <v>46024</v>
      </c>
      <c r="E55" s="13" t="n">
        <v>46054</v>
      </c>
      <c r="F55" s="14" t="n">
        <v>4213.98</v>
      </c>
      <c r="G55" t="inlineStr">
        <is>
          <t>Paid</t>
        </is>
      </c>
      <c r="H55">
        <f>IF(G55="Overdue",DATE(2026,10,1)-E55,0)</f>
        <v/>
      </c>
    </row>
    <row r="56">
      <c r="A56" t="inlineStr">
        <is>
          <t>INV-2026-055</t>
        </is>
      </c>
      <c r="B56" t="inlineStr">
        <is>
          <t>Zeta Logistics</t>
        </is>
      </c>
      <c r="C56" t="inlineStr">
        <is>
          <t>2026-08</t>
        </is>
      </c>
      <c r="D56" s="13" t="n">
        <v>46238</v>
      </c>
      <c r="E56" s="13" t="n">
        <v>46268</v>
      </c>
      <c r="F56" s="14" t="n">
        <v>2410.35</v>
      </c>
      <c r="G56" t="inlineStr">
        <is>
          <t>Pending</t>
        </is>
      </c>
      <c r="H56">
        <f>IF(G56="Overdue",DATE(2026,10,1)-E56,0)</f>
        <v/>
      </c>
    </row>
    <row r="57">
      <c r="A57" t="inlineStr">
        <is>
          <t>INV-2026-056</t>
        </is>
      </c>
      <c r="B57" t="inlineStr">
        <is>
          <t>Alfa Construct</t>
        </is>
      </c>
      <c r="C57" t="inlineStr">
        <is>
          <t>2026-09</t>
        </is>
      </c>
      <c r="D57" s="13" t="n">
        <v>46281</v>
      </c>
      <c r="E57" s="13" t="n">
        <v>46311</v>
      </c>
      <c r="F57" s="14" t="n">
        <v>2136.5</v>
      </c>
      <c r="G57" t="inlineStr">
        <is>
          <t>Paid</t>
        </is>
      </c>
      <c r="H57">
        <f>IF(G57="Overdue",DATE(2026,10,1)-E57,0)</f>
        <v/>
      </c>
    </row>
    <row r="58">
      <c r="A58" t="inlineStr">
        <is>
          <t>INV-2026-057</t>
        </is>
      </c>
      <c r="B58" t="inlineStr">
        <is>
          <t>Delta Foods</t>
        </is>
      </c>
      <c r="C58" t="inlineStr">
        <is>
          <t>2026-09</t>
        </is>
      </c>
      <c r="D58" s="13" t="n">
        <v>46286</v>
      </c>
      <c r="E58" s="13" t="n">
        <v>46316</v>
      </c>
      <c r="F58" s="14" t="n">
        <v>3265.69</v>
      </c>
      <c r="G58" t="inlineStr">
        <is>
          <t>Paid</t>
        </is>
      </c>
      <c r="H58">
        <f>IF(G58="Overdue",DATE(2026,10,1)-E58,0)</f>
        <v/>
      </c>
    </row>
    <row r="59">
      <c r="A59" t="inlineStr">
        <is>
          <t>INV-2026-058</t>
        </is>
      </c>
      <c r="B59" t="inlineStr">
        <is>
          <t>Alfa Construct</t>
        </is>
      </c>
      <c r="C59" t="inlineStr">
        <is>
          <t>2026-09</t>
        </is>
      </c>
      <c r="D59" s="13" t="n">
        <v>46279</v>
      </c>
      <c r="E59" s="13" t="n">
        <v>46309</v>
      </c>
      <c r="F59" s="14" t="n">
        <v>2127.2</v>
      </c>
      <c r="G59" t="inlineStr">
        <is>
          <t>Paid</t>
        </is>
      </c>
      <c r="H59">
        <f>IF(G59="Overdue",DATE(2026,10,1)-E59,0)</f>
        <v/>
      </c>
    </row>
    <row r="60">
      <c r="A60" t="inlineStr">
        <is>
          <t>INV-2026-059</t>
        </is>
      </c>
      <c r="B60" t="inlineStr">
        <is>
          <t>Delta Foods</t>
        </is>
      </c>
      <c r="C60" t="inlineStr">
        <is>
          <t>2026-09</t>
        </is>
      </c>
      <c r="D60" s="13" t="n">
        <v>46287</v>
      </c>
      <c r="E60" s="13" t="n">
        <v>46317</v>
      </c>
      <c r="F60" s="14" t="n">
        <v>4921.45</v>
      </c>
      <c r="G60" t="inlineStr">
        <is>
          <t>Pending</t>
        </is>
      </c>
      <c r="H60">
        <f>IF(G60="Overdue",DATE(2026,10,1)-E60,0)</f>
        <v/>
      </c>
    </row>
    <row r="61">
      <c r="A61" t="inlineStr">
        <is>
          <t>INV-2026-060</t>
        </is>
      </c>
      <c r="B61" t="inlineStr">
        <is>
          <t>Gamma Retail</t>
        </is>
      </c>
      <c r="C61" t="inlineStr">
        <is>
          <t>2026-09</t>
        </is>
      </c>
      <c r="D61" s="13" t="n">
        <v>46278</v>
      </c>
      <c r="E61" s="13" t="n">
        <v>46308</v>
      </c>
      <c r="F61" s="14" t="n">
        <v>1276.36</v>
      </c>
      <c r="G61" t="inlineStr">
        <is>
          <t>Paid</t>
        </is>
      </c>
      <c r="H61">
        <f>IF(G61="Overdue",DATE(2026,10,1)-E61,0)</f>
        <v/>
      </c>
    </row>
    <row r="62">
      <c r="A62" t="inlineStr">
        <is>
          <t>INV-2026-061</t>
        </is>
      </c>
      <c r="B62" t="inlineStr">
        <is>
          <t>Zeta Logistics</t>
        </is>
      </c>
      <c r="C62" t="inlineStr">
        <is>
          <t>2026-05</t>
        </is>
      </c>
      <c r="D62" s="13" t="n">
        <v>46151</v>
      </c>
      <c r="E62" s="13" t="n">
        <v>46181</v>
      </c>
      <c r="F62" s="14" t="n">
        <v>701.55</v>
      </c>
      <c r="G62" t="inlineStr">
        <is>
          <t>Paid</t>
        </is>
      </c>
      <c r="H62">
        <f>IF(G62="Overdue",DATE(2026,10,1)-E62,0)</f>
        <v/>
      </c>
    </row>
    <row r="63">
      <c r="A63" t="inlineStr">
        <is>
          <t>INV-2026-062</t>
        </is>
      </c>
      <c r="B63" t="inlineStr">
        <is>
          <t>Alfa Construct</t>
        </is>
      </c>
      <c r="C63" t="inlineStr">
        <is>
          <t>2026-09</t>
        </is>
      </c>
      <c r="D63" s="13" t="n">
        <v>46278</v>
      </c>
      <c r="E63" s="13" t="n">
        <v>46308</v>
      </c>
      <c r="F63" s="14" t="n">
        <v>1860.59</v>
      </c>
      <c r="G63" t="inlineStr">
        <is>
          <t>Paid</t>
        </is>
      </c>
      <c r="H63">
        <f>IF(G63="Overdue",DATE(2026,10,1)-E63,0)</f>
        <v/>
      </c>
    </row>
    <row r="64">
      <c r="A64" t="inlineStr">
        <is>
          <t>INV-2026-063</t>
        </is>
      </c>
      <c r="B64" t="inlineStr">
        <is>
          <t>Theta Style</t>
        </is>
      </c>
      <c r="C64" t="inlineStr">
        <is>
          <t>2026-07</t>
        </is>
      </c>
      <c r="D64" s="13" t="n">
        <v>46204</v>
      </c>
      <c r="E64" s="13" t="n">
        <v>46234</v>
      </c>
      <c r="F64" s="14" t="n">
        <v>2180.49</v>
      </c>
      <c r="G64" t="inlineStr">
        <is>
          <t>Overdue</t>
        </is>
      </c>
      <c r="H64">
        <f>IF(G64="Overdue",DATE(2026,10,1)-E64,0)</f>
        <v/>
      </c>
    </row>
    <row r="65">
      <c r="A65" t="inlineStr">
        <is>
          <t>INV-2026-064</t>
        </is>
      </c>
      <c r="B65" t="inlineStr">
        <is>
          <t>Delta Foods</t>
        </is>
      </c>
      <c r="C65" t="inlineStr">
        <is>
          <t>2026-01</t>
        </is>
      </c>
      <c r="D65" s="13" t="n">
        <v>46035</v>
      </c>
      <c r="E65" s="13" t="n">
        <v>46065</v>
      </c>
      <c r="F65" s="14" t="n">
        <v>3862.81</v>
      </c>
      <c r="G65" t="inlineStr">
        <is>
          <t>Paid</t>
        </is>
      </c>
      <c r="H65">
        <f>IF(G65="Overdue",DATE(2026,10,1)-E65,0)</f>
        <v/>
      </c>
    </row>
    <row r="66">
      <c r="A66" t="inlineStr">
        <is>
          <t>INV-2026-065</t>
        </is>
      </c>
      <c r="B66" t="inlineStr">
        <is>
          <t>Zeta Logistics</t>
        </is>
      </c>
      <c r="C66" t="inlineStr">
        <is>
          <t>2026-06</t>
        </is>
      </c>
      <c r="D66" s="13" t="n">
        <v>46187</v>
      </c>
      <c r="E66" s="13" t="n">
        <v>46217</v>
      </c>
      <c r="F66" s="14" t="n">
        <v>4425.73</v>
      </c>
      <c r="G66" t="inlineStr">
        <is>
          <t>Paid</t>
        </is>
      </c>
      <c r="H66">
        <f>IF(G66="Overdue",DATE(2026,10,1)-E66,0)</f>
        <v/>
      </c>
    </row>
    <row r="67">
      <c r="A67" t="inlineStr">
        <is>
          <t>INV-2026-066</t>
        </is>
      </c>
      <c r="B67" t="inlineStr">
        <is>
          <t>Epsilon Tech</t>
        </is>
      </c>
      <c r="C67" t="inlineStr">
        <is>
          <t>2026-07</t>
        </is>
      </c>
      <c r="D67" s="13" t="n">
        <v>46214</v>
      </c>
      <c r="E67" s="13" t="n">
        <v>46244</v>
      </c>
      <c r="F67" s="14" t="n">
        <v>3063.19</v>
      </c>
      <c r="G67" t="inlineStr">
        <is>
          <t>Paid</t>
        </is>
      </c>
      <c r="H67">
        <f>IF(G67="Overdue",DATE(2026,10,1)-E67,0)</f>
        <v/>
      </c>
    </row>
    <row r="68">
      <c r="A68" t="inlineStr">
        <is>
          <t>INV-2026-067</t>
        </is>
      </c>
      <c r="B68" t="inlineStr">
        <is>
          <t>Theta Style</t>
        </is>
      </c>
      <c r="C68" t="inlineStr">
        <is>
          <t>2026-03</t>
        </is>
      </c>
      <c r="D68" s="13" t="n">
        <v>46108</v>
      </c>
      <c r="E68" s="13" t="n">
        <v>46138</v>
      </c>
      <c r="F68" s="14" t="n">
        <v>3653.71</v>
      </c>
      <c r="G68" t="inlineStr">
        <is>
          <t>Paid</t>
        </is>
      </c>
      <c r="H68">
        <f>IF(G68="Overdue",DATE(2026,10,1)-E68,0)</f>
        <v/>
      </c>
    </row>
    <row r="69">
      <c r="A69" t="inlineStr">
        <is>
          <t>INV-2026-068</t>
        </is>
      </c>
      <c r="B69" t="inlineStr">
        <is>
          <t>Epsilon Tech</t>
        </is>
      </c>
      <c r="C69" t="inlineStr">
        <is>
          <t>2026-02</t>
        </is>
      </c>
      <c r="D69" s="13" t="n">
        <v>46062</v>
      </c>
      <c r="E69" s="13" t="n">
        <v>46092</v>
      </c>
      <c r="F69" s="14" t="n">
        <v>2966.8</v>
      </c>
      <c r="G69" t="inlineStr">
        <is>
          <t>Paid</t>
        </is>
      </c>
      <c r="H69">
        <f>IF(G69="Overdue",DATE(2026,10,1)-E69,0)</f>
        <v/>
      </c>
    </row>
    <row r="70">
      <c r="A70" t="inlineStr">
        <is>
          <t>INV-2026-069</t>
        </is>
      </c>
      <c r="B70" t="inlineStr">
        <is>
          <t>Beta Media</t>
        </is>
      </c>
      <c r="C70" t="inlineStr">
        <is>
          <t>2026-09</t>
        </is>
      </c>
      <c r="D70" s="13" t="n">
        <v>46272</v>
      </c>
      <c r="E70" s="13" t="n">
        <v>46302</v>
      </c>
      <c r="F70" s="14" t="n">
        <v>4941.09</v>
      </c>
      <c r="G70" t="inlineStr">
        <is>
          <t>Paid</t>
        </is>
      </c>
      <c r="H70">
        <f>IF(G70="Overdue",DATE(2026,10,1)-E70,0)</f>
        <v/>
      </c>
    </row>
    <row r="71">
      <c r="A71" t="inlineStr">
        <is>
          <t>INV-2026-070</t>
        </is>
      </c>
      <c r="B71" t="inlineStr">
        <is>
          <t>Delta Foods</t>
        </is>
      </c>
      <c r="C71" t="inlineStr">
        <is>
          <t>2026-08</t>
        </is>
      </c>
      <c r="D71" s="13" t="n">
        <v>46244</v>
      </c>
      <c r="E71" s="13" t="n">
        <v>46274</v>
      </c>
      <c r="F71" s="14" t="n">
        <v>1831.11</v>
      </c>
      <c r="G71" t="inlineStr">
        <is>
          <t>Paid</t>
        </is>
      </c>
      <c r="H71">
        <f>IF(G71="Overdue",DATE(2026,10,1)-E71,0)</f>
        <v/>
      </c>
    </row>
    <row r="72">
      <c r="A72" t="inlineStr">
        <is>
          <t>INV-2026-071</t>
        </is>
      </c>
      <c r="B72" t="inlineStr">
        <is>
          <t>Beta Media</t>
        </is>
      </c>
      <c r="C72" t="inlineStr">
        <is>
          <t>2026-05</t>
        </is>
      </c>
      <c r="D72" s="13" t="n">
        <v>46143</v>
      </c>
      <c r="E72" s="13" t="n">
        <v>46173</v>
      </c>
      <c r="F72" s="14" t="n">
        <v>2246.4</v>
      </c>
      <c r="G72" t="inlineStr">
        <is>
          <t>Paid</t>
        </is>
      </c>
      <c r="H72">
        <f>IF(G72="Overdue",DATE(2026,10,1)-E72,0)</f>
        <v/>
      </c>
    </row>
    <row r="73">
      <c r="A73" t="inlineStr">
        <is>
          <t>INV-2026-072</t>
        </is>
      </c>
      <c r="B73" t="inlineStr">
        <is>
          <t>Delta Foods</t>
        </is>
      </c>
      <c r="C73" t="inlineStr">
        <is>
          <t>2026-08</t>
        </is>
      </c>
      <c r="D73" s="13" t="n">
        <v>46252</v>
      </c>
      <c r="E73" s="13" t="n">
        <v>46282</v>
      </c>
      <c r="F73" s="14" t="n">
        <v>3147.54</v>
      </c>
      <c r="G73" t="inlineStr">
        <is>
          <t>Pending</t>
        </is>
      </c>
      <c r="H73">
        <f>IF(G73="Overdue",DATE(2026,10,1)-E73,0)</f>
        <v/>
      </c>
    </row>
    <row r="74">
      <c r="A74" t="inlineStr">
        <is>
          <t>INV-2026-073</t>
        </is>
      </c>
      <c r="B74" t="inlineStr">
        <is>
          <t>Delta Foods</t>
        </is>
      </c>
      <c r="C74" t="inlineStr">
        <is>
          <t>2026-04</t>
        </is>
      </c>
      <c r="D74" s="13" t="n">
        <v>46135</v>
      </c>
      <c r="E74" s="13" t="n">
        <v>46165</v>
      </c>
      <c r="F74" s="14" t="n">
        <v>2580.35</v>
      </c>
      <c r="G74" t="inlineStr">
        <is>
          <t>Paid</t>
        </is>
      </c>
      <c r="H74">
        <f>IF(G74="Overdue",DATE(2026,10,1)-E74,0)</f>
        <v/>
      </c>
    </row>
    <row r="75">
      <c r="A75" t="inlineStr">
        <is>
          <t>INV-2026-074</t>
        </is>
      </c>
      <c r="B75" t="inlineStr">
        <is>
          <t>Eta Pharma</t>
        </is>
      </c>
      <c r="C75" t="inlineStr">
        <is>
          <t>2026-05</t>
        </is>
      </c>
      <c r="D75" s="13" t="n">
        <v>46161</v>
      </c>
      <c r="E75" s="13" t="n">
        <v>46191</v>
      </c>
      <c r="F75" s="14" t="n">
        <v>1716.02</v>
      </c>
      <c r="G75" t="inlineStr">
        <is>
          <t>Paid</t>
        </is>
      </c>
      <c r="H75">
        <f>IF(G75="Overdue",DATE(2026,10,1)-E75,0)</f>
        <v/>
      </c>
    </row>
    <row r="76">
      <c r="A76" t="inlineStr">
        <is>
          <t>INV-2026-075</t>
        </is>
      </c>
      <c r="B76" t="inlineStr">
        <is>
          <t>Alfa Construct</t>
        </is>
      </c>
      <c r="C76" t="inlineStr">
        <is>
          <t>2026-09</t>
        </is>
      </c>
      <c r="D76" s="13" t="n">
        <v>46285</v>
      </c>
      <c r="E76" s="13" t="n">
        <v>46315</v>
      </c>
      <c r="F76" s="14" t="n">
        <v>2050.55</v>
      </c>
      <c r="G76" t="inlineStr">
        <is>
          <t>Paid</t>
        </is>
      </c>
      <c r="H76">
        <f>IF(G76="Overdue",DATE(2026,10,1)-E76,0)</f>
        <v/>
      </c>
    </row>
    <row r="77">
      <c r="A77" t="inlineStr">
        <is>
          <t>INV-2026-076</t>
        </is>
      </c>
      <c r="B77" t="inlineStr">
        <is>
          <t>Zeta Logistics</t>
        </is>
      </c>
      <c r="C77" t="inlineStr">
        <is>
          <t>2026-02</t>
        </is>
      </c>
      <c r="D77" s="13" t="n">
        <v>46055</v>
      </c>
      <c r="E77" s="13" t="n">
        <v>46085</v>
      </c>
      <c r="F77" s="14" t="n">
        <v>2750.06</v>
      </c>
      <c r="G77" t="inlineStr">
        <is>
          <t>Overdue</t>
        </is>
      </c>
      <c r="H77">
        <f>IF(G77="Overdue",DATE(2026,10,1)-E77,0)</f>
        <v/>
      </c>
    </row>
    <row r="78">
      <c r="A78" t="inlineStr">
        <is>
          <t>INV-2026-077</t>
        </is>
      </c>
      <c r="B78" t="inlineStr">
        <is>
          <t>Theta Style</t>
        </is>
      </c>
      <c r="C78" t="inlineStr">
        <is>
          <t>2026-07</t>
        </is>
      </c>
      <c r="D78" s="13" t="n">
        <v>46221</v>
      </c>
      <c r="E78" s="13" t="n">
        <v>46251</v>
      </c>
      <c r="F78" s="14" t="n">
        <v>1947.43</v>
      </c>
      <c r="G78" t="inlineStr">
        <is>
          <t>Paid</t>
        </is>
      </c>
      <c r="H78">
        <f>IF(G78="Overdue",DATE(2026,10,1)-E78,0)</f>
        <v/>
      </c>
    </row>
    <row r="79">
      <c r="A79" t="inlineStr">
        <is>
          <t>INV-2026-078</t>
        </is>
      </c>
      <c r="B79" t="inlineStr">
        <is>
          <t>Epsilon Tech</t>
        </is>
      </c>
      <c r="C79" t="inlineStr">
        <is>
          <t>2026-03</t>
        </is>
      </c>
      <c r="D79" s="13" t="n">
        <v>46082</v>
      </c>
      <c r="E79" s="13" t="n">
        <v>46112</v>
      </c>
      <c r="F79" s="14" t="n">
        <v>2605.23</v>
      </c>
      <c r="G79" t="inlineStr">
        <is>
          <t>Pending</t>
        </is>
      </c>
      <c r="H79">
        <f>IF(G79="Overdue",DATE(2026,10,1)-E79,0)</f>
        <v/>
      </c>
    </row>
    <row r="80">
      <c r="A80" t="inlineStr">
        <is>
          <t>INV-2026-079</t>
        </is>
      </c>
      <c r="B80" t="inlineStr">
        <is>
          <t>Beta Media</t>
        </is>
      </c>
      <c r="C80" t="inlineStr">
        <is>
          <t>2026-07</t>
        </is>
      </c>
      <c r="D80" s="13" t="n">
        <v>46205</v>
      </c>
      <c r="E80" s="13" t="n">
        <v>46235</v>
      </c>
      <c r="F80" s="14" t="n">
        <v>300.22</v>
      </c>
      <c r="G80" t="inlineStr">
        <is>
          <t>Overdue</t>
        </is>
      </c>
      <c r="H80">
        <f>IF(G80="Overdue",DATE(2026,10,1)-E80,0)</f>
        <v/>
      </c>
    </row>
    <row r="81">
      <c r="A81" t="inlineStr">
        <is>
          <t>INV-2026-080</t>
        </is>
      </c>
      <c r="B81" t="inlineStr">
        <is>
          <t>Alfa Construct</t>
        </is>
      </c>
      <c r="C81" t="inlineStr">
        <is>
          <t>2026-07</t>
        </is>
      </c>
      <c r="D81" s="13" t="n">
        <v>46224</v>
      </c>
      <c r="E81" s="13" t="n">
        <v>46254</v>
      </c>
      <c r="F81" s="14" t="n">
        <v>1173.66</v>
      </c>
      <c r="G81" t="inlineStr">
        <is>
          <t>Overdue</t>
        </is>
      </c>
      <c r="H81">
        <f>IF(G81="Overdue",DATE(2026,10,1)-E81,0)</f>
        <v/>
      </c>
    </row>
    <row r="82">
      <c r="A82" t="inlineStr">
        <is>
          <t>INV-2026-081</t>
        </is>
      </c>
      <c r="B82" t="inlineStr">
        <is>
          <t>Delta Foods</t>
        </is>
      </c>
      <c r="C82" t="inlineStr">
        <is>
          <t>2026-08</t>
        </is>
      </c>
      <c r="D82" s="13" t="n">
        <v>46255</v>
      </c>
      <c r="E82" s="13" t="n">
        <v>46285</v>
      </c>
      <c r="F82" s="14" t="n">
        <v>1745.24</v>
      </c>
      <c r="G82" t="inlineStr">
        <is>
          <t>Pending</t>
        </is>
      </c>
      <c r="H82">
        <f>IF(G82="Overdue",DATE(2026,10,1)-E82,0)</f>
        <v/>
      </c>
    </row>
    <row r="83">
      <c r="A83" t="inlineStr">
        <is>
          <t>INV-2026-082</t>
        </is>
      </c>
      <c r="B83" t="inlineStr">
        <is>
          <t>Eta Pharma</t>
        </is>
      </c>
      <c r="C83" t="inlineStr">
        <is>
          <t>2026-01</t>
        </is>
      </c>
      <c r="D83" s="13" t="n">
        <v>46049</v>
      </c>
      <c r="E83" s="13" t="n">
        <v>46079</v>
      </c>
      <c r="F83" s="14" t="n">
        <v>4333.82</v>
      </c>
      <c r="G83" t="inlineStr">
        <is>
          <t>Paid</t>
        </is>
      </c>
      <c r="H83">
        <f>IF(G83="Overdue",DATE(2026,10,1)-E83,0)</f>
        <v/>
      </c>
    </row>
    <row r="84">
      <c r="A84" t="inlineStr">
        <is>
          <t>INV-2026-083</t>
        </is>
      </c>
      <c r="B84" t="inlineStr">
        <is>
          <t>Epsilon Tech</t>
        </is>
      </c>
      <c r="C84" t="inlineStr">
        <is>
          <t>2026-05</t>
        </is>
      </c>
      <c r="D84" s="13" t="n">
        <v>46156</v>
      </c>
      <c r="E84" s="13" t="n">
        <v>46186</v>
      </c>
      <c r="F84" s="14" t="n">
        <v>373.1</v>
      </c>
      <c r="G84" t="inlineStr">
        <is>
          <t>Paid</t>
        </is>
      </c>
      <c r="H84">
        <f>IF(G84="Overdue",DATE(2026,10,1)-E84,0)</f>
        <v/>
      </c>
    </row>
    <row r="85">
      <c r="A85" t="inlineStr">
        <is>
          <t>INV-2026-084</t>
        </is>
      </c>
      <c r="B85" t="inlineStr">
        <is>
          <t>Theta Style</t>
        </is>
      </c>
      <c r="C85" t="inlineStr">
        <is>
          <t>2026-04</t>
        </is>
      </c>
      <c r="D85" s="13" t="n">
        <v>46116</v>
      </c>
      <c r="E85" s="13" t="n">
        <v>46146</v>
      </c>
      <c r="F85" s="14" t="n">
        <v>2083.29</v>
      </c>
      <c r="G85" t="inlineStr">
        <is>
          <t>Pending</t>
        </is>
      </c>
      <c r="H85">
        <f>IF(G85="Overdue",DATE(2026,10,1)-E85,0)</f>
        <v/>
      </c>
    </row>
    <row r="86">
      <c r="A86" t="inlineStr">
        <is>
          <t>INV-2026-085</t>
        </is>
      </c>
      <c r="B86" t="inlineStr">
        <is>
          <t>Zeta Logistics</t>
        </is>
      </c>
      <c r="C86" t="inlineStr">
        <is>
          <t>2026-09</t>
        </is>
      </c>
      <c r="D86" s="13" t="n">
        <v>46287</v>
      </c>
      <c r="E86" s="13" t="n">
        <v>46317</v>
      </c>
      <c r="F86" s="14" t="n">
        <v>3616.92</v>
      </c>
      <c r="G86" t="inlineStr">
        <is>
          <t>Paid</t>
        </is>
      </c>
      <c r="H86">
        <f>IF(G86="Overdue",DATE(2026,10,1)-E86,0)</f>
        <v/>
      </c>
    </row>
    <row r="87">
      <c r="A87" t="inlineStr">
        <is>
          <t>INV-2026-086</t>
        </is>
      </c>
      <c r="B87" t="inlineStr">
        <is>
          <t>Alfa Construct</t>
        </is>
      </c>
      <c r="C87" t="inlineStr">
        <is>
          <t>2026-06</t>
        </is>
      </c>
      <c r="D87" s="13" t="n">
        <v>46186</v>
      </c>
      <c r="E87" s="13" t="n">
        <v>46216</v>
      </c>
      <c r="F87" s="14" t="n">
        <v>1016.99</v>
      </c>
      <c r="G87" t="inlineStr">
        <is>
          <t>Overdue</t>
        </is>
      </c>
      <c r="H87">
        <f>IF(G87="Overdue",DATE(2026,10,1)-E87,0)</f>
        <v/>
      </c>
    </row>
    <row r="88">
      <c r="A88" t="inlineStr">
        <is>
          <t>INV-2026-087</t>
        </is>
      </c>
      <c r="B88" t="inlineStr">
        <is>
          <t>Eta Pharma</t>
        </is>
      </c>
      <c r="C88" t="inlineStr">
        <is>
          <t>2026-09</t>
        </is>
      </c>
      <c r="D88" s="13" t="n">
        <v>46281</v>
      </c>
      <c r="E88" s="13" t="n">
        <v>46311</v>
      </c>
      <c r="F88" s="14" t="n">
        <v>531.55</v>
      </c>
      <c r="G88" t="inlineStr">
        <is>
          <t>Paid</t>
        </is>
      </c>
      <c r="H88">
        <f>IF(G88="Overdue",DATE(2026,10,1)-E88,0)</f>
        <v/>
      </c>
    </row>
    <row r="89">
      <c r="A89" t="inlineStr">
        <is>
          <t>INV-2026-088</t>
        </is>
      </c>
      <c r="B89" t="inlineStr">
        <is>
          <t>Epsilon Tech</t>
        </is>
      </c>
      <c r="C89" t="inlineStr">
        <is>
          <t>2026-04</t>
        </is>
      </c>
      <c r="D89" s="13" t="n">
        <v>46132</v>
      </c>
      <c r="E89" s="13" t="n">
        <v>46162</v>
      </c>
      <c r="F89" s="14" t="n">
        <v>379.67</v>
      </c>
      <c r="G89" t="inlineStr">
        <is>
          <t>Overdue</t>
        </is>
      </c>
      <c r="H89">
        <f>IF(G89="Overdue",DATE(2026,10,1)-E89,0)</f>
        <v/>
      </c>
    </row>
    <row r="90">
      <c r="A90" t="inlineStr">
        <is>
          <t>INV-2026-089</t>
        </is>
      </c>
      <c r="B90" t="inlineStr">
        <is>
          <t>Gamma Retail</t>
        </is>
      </c>
      <c r="C90" t="inlineStr">
        <is>
          <t>2026-09</t>
        </is>
      </c>
      <c r="D90" s="13" t="n">
        <v>46279</v>
      </c>
      <c r="E90" s="13" t="n">
        <v>46309</v>
      </c>
      <c r="F90" s="14" t="n">
        <v>3218.83</v>
      </c>
      <c r="G90" t="inlineStr">
        <is>
          <t>Paid</t>
        </is>
      </c>
      <c r="H90">
        <f>IF(G90="Overdue",DATE(2026,10,1)-E90,0)</f>
        <v/>
      </c>
    </row>
    <row r="91">
      <c r="A91" t="inlineStr">
        <is>
          <t>INV-2026-090</t>
        </is>
      </c>
      <c r="B91" t="inlineStr">
        <is>
          <t>Epsilon Tech</t>
        </is>
      </c>
      <c r="C91" t="inlineStr">
        <is>
          <t>2026-02</t>
        </is>
      </c>
      <c r="D91" s="13" t="n">
        <v>46075</v>
      </c>
      <c r="E91" s="13" t="n">
        <v>46105</v>
      </c>
      <c r="F91" s="14" t="n">
        <v>868.86</v>
      </c>
      <c r="G91" t="inlineStr">
        <is>
          <t>Pending</t>
        </is>
      </c>
      <c r="H91">
        <f>IF(G91="Overdue",DATE(2026,10,1)-E91,0)</f>
        <v/>
      </c>
    </row>
    <row r="92">
      <c r="A92" t="inlineStr">
        <is>
          <t>INV-2026-091</t>
        </is>
      </c>
      <c r="B92" t="inlineStr">
        <is>
          <t>Alfa Construct</t>
        </is>
      </c>
      <c r="C92" t="inlineStr">
        <is>
          <t>2026-01</t>
        </is>
      </c>
      <c r="D92" s="13" t="n">
        <v>46027</v>
      </c>
      <c r="E92" s="13" t="n">
        <v>46057</v>
      </c>
      <c r="F92" s="14" t="n">
        <v>3564.55</v>
      </c>
      <c r="G92" t="inlineStr">
        <is>
          <t>Paid</t>
        </is>
      </c>
      <c r="H92">
        <f>IF(G92="Overdue",DATE(2026,10,1)-E92,0)</f>
        <v/>
      </c>
    </row>
    <row r="93">
      <c r="A93" t="inlineStr">
        <is>
          <t>INV-2026-092</t>
        </is>
      </c>
      <c r="B93" t="inlineStr">
        <is>
          <t>Epsilon Tech</t>
        </is>
      </c>
      <c r="C93" t="inlineStr">
        <is>
          <t>2026-01</t>
        </is>
      </c>
      <c r="D93" s="13" t="n">
        <v>46028</v>
      </c>
      <c r="E93" s="13" t="n">
        <v>46058</v>
      </c>
      <c r="F93" s="14" t="n">
        <v>3259.49</v>
      </c>
      <c r="G93" t="inlineStr">
        <is>
          <t>Paid</t>
        </is>
      </c>
      <c r="H93">
        <f>IF(G93="Overdue",DATE(2026,10,1)-E93,0)</f>
        <v/>
      </c>
    </row>
    <row r="94">
      <c r="A94" t="inlineStr">
        <is>
          <t>INV-2026-093</t>
        </is>
      </c>
      <c r="B94" t="inlineStr">
        <is>
          <t>Delta Foods</t>
        </is>
      </c>
      <c r="C94" t="inlineStr">
        <is>
          <t>2026-07</t>
        </is>
      </c>
      <c r="D94" s="13" t="n">
        <v>46214</v>
      </c>
      <c r="E94" s="13" t="n">
        <v>46244</v>
      </c>
      <c r="F94" s="14" t="n">
        <v>2698.37</v>
      </c>
      <c r="G94" t="inlineStr">
        <is>
          <t>Pending</t>
        </is>
      </c>
      <c r="H94">
        <f>IF(G94="Overdue",DATE(2026,10,1)-E94,0)</f>
        <v/>
      </c>
    </row>
    <row r="95">
      <c r="A95" t="inlineStr">
        <is>
          <t>INV-2026-094</t>
        </is>
      </c>
      <c r="B95" t="inlineStr">
        <is>
          <t>Eta Pharma</t>
        </is>
      </c>
      <c r="C95" t="inlineStr">
        <is>
          <t>2026-01</t>
        </is>
      </c>
      <c r="D95" s="13" t="n">
        <v>46046</v>
      </c>
      <c r="E95" s="13" t="n">
        <v>46076</v>
      </c>
      <c r="F95" s="14" t="n">
        <v>4440.98</v>
      </c>
      <c r="G95" t="inlineStr">
        <is>
          <t>Paid</t>
        </is>
      </c>
      <c r="H95">
        <f>IF(G95="Overdue",DATE(2026,10,1)-E95,0)</f>
        <v/>
      </c>
    </row>
    <row r="96">
      <c r="A96" t="inlineStr">
        <is>
          <t>INV-2026-095</t>
        </is>
      </c>
      <c r="B96" t="inlineStr">
        <is>
          <t>Zeta Logistics</t>
        </is>
      </c>
      <c r="C96" t="inlineStr">
        <is>
          <t>2026-01</t>
        </is>
      </c>
      <c r="D96" s="13" t="n">
        <v>46028</v>
      </c>
      <c r="E96" s="13" t="n">
        <v>46058</v>
      </c>
      <c r="F96" s="14" t="n">
        <v>2493.74</v>
      </c>
      <c r="G96" t="inlineStr">
        <is>
          <t>Paid</t>
        </is>
      </c>
      <c r="H96">
        <f>IF(G96="Overdue",DATE(2026,10,1)-E96,0)</f>
        <v/>
      </c>
    </row>
    <row r="97">
      <c r="A97" t="inlineStr">
        <is>
          <t>INV-2026-096</t>
        </is>
      </c>
      <c r="B97" t="inlineStr">
        <is>
          <t>Delta Foods</t>
        </is>
      </c>
      <c r="C97" t="inlineStr">
        <is>
          <t>2026-09</t>
        </is>
      </c>
      <c r="D97" s="13" t="n">
        <v>46289</v>
      </c>
      <c r="E97" s="13" t="n">
        <v>46319</v>
      </c>
      <c r="F97" s="14" t="n">
        <v>1998.85</v>
      </c>
      <c r="G97" t="inlineStr">
        <is>
          <t>Pending</t>
        </is>
      </c>
      <c r="H97">
        <f>IF(G97="Overdue",DATE(2026,10,1)-E97,0)</f>
        <v/>
      </c>
    </row>
    <row r="98">
      <c r="A98" t="inlineStr">
        <is>
          <t>INV-2026-097</t>
        </is>
      </c>
      <c r="B98" t="inlineStr">
        <is>
          <t>Beta Media</t>
        </is>
      </c>
      <c r="C98" t="inlineStr">
        <is>
          <t>2026-03</t>
        </is>
      </c>
      <c r="D98" s="13" t="n">
        <v>46109</v>
      </c>
      <c r="E98" s="13" t="n">
        <v>46139</v>
      </c>
      <c r="F98" s="14" t="n">
        <v>2625.2</v>
      </c>
      <c r="G98" t="inlineStr">
        <is>
          <t>Overdue</t>
        </is>
      </c>
      <c r="H98">
        <f>IF(G98="Overdue",DATE(2026,10,1)-E98,0)</f>
        <v/>
      </c>
    </row>
    <row r="99">
      <c r="A99" t="inlineStr">
        <is>
          <t>INV-2026-098</t>
        </is>
      </c>
      <c r="B99" t="inlineStr">
        <is>
          <t>Epsilon Tech</t>
        </is>
      </c>
      <c r="C99" t="inlineStr">
        <is>
          <t>2026-01</t>
        </is>
      </c>
      <c r="D99" s="13" t="n">
        <v>46035</v>
      </c>
      <c r="E99" s="13" t="n">
        <v>46065</v>
      </c>
      <c r="F99" s="14" t="n">
        <v>3535.17</v>
      </c>
      <c r="G99" t="inlineStr">
        <is>
          <t>Paid</t>
        </is>
      </c>
      <c r="H99">
        <f>IF(G99="Overdue",DATE(2026,10,1)-E99,0)</f>
        <v/>
      </c>
    </row>
    <row r="100">
      <c r="A100" t="inlineStr">
        <is>
          <t>INV-2026-099</t>
        </is>
      </c>
      <c r="B100" t="inlineStr">
        <is>
          <t>Theta Style</t>
        </is>
      </c>
      <c r="C100" t="inlineStr">
        <is>
          <t>2026-07</t>
        </is>
      </c>
      <c r="D100" s="13" t="n">
        <v>46215</v>
      </c>
      <c r="E100" s="13" t="n">
        <v>46245</v>
      </c>
      <c r="F100" s="14" t="n">
        <v>3763.93</v>
      </c>
      <c r="G100" t="inlineStr">
        <is>
          <t>Paid</t>
        </is>
      </c>
      <c r="H100">
        <f>IF(G100="Overdue",DATE(2026,10,1)-E100,0)</f>
        <v/>
      </c>
    </row>
    <row r="101">
      <c r="A101" t="inlineStr">
        <is>
          <t>INV-2026-100</t>
        </is>
      </c>
      <c r="B101" t="inlineStr">
        <is>
          <t>Theta Style</t>
        </is>
      </c>
      <c r="C101" t="inlineStr">
        <is>
          <t>2026-09</t>
        </is>
      </c>
      <c r="D101" s="13" t="n">
        <v>46275</v>
      </c>
      <c r="E101" s="13" t="n">
        <v>46305</v>
      </c>
      <c r="F101" s="14" t="n">
        <v>1015.11</v>
      </c>
      <c r="G101" t="inlineStr">
        <is>
          <t>Paid</t>
        </is>
      </c>
      <c r="H101">
        <f>IF(G101="Overdue",DATE(2026,10,1)-E101,0)</f>
        <v/>
      </c>
    </row>
    <row r="102">
      <c r="A102" t="inlineStr">
        <is>
          <t>INV-2026-101</t>
        </is>
      </c>
      <c r="B102" t="inlineStr">
        <is>
          <t>Epsilon Tech</t>
        </is>
      </c>
      <c r="C102" t="inlineStr">
        <is>
          <t>2026-03</t>
        </is>
      </c>
      <c r="D102" s="13" t="n">
        <v>46092</v>
      </c>
      <c r="E102" s="13" t="n">
        <v>46122</v>
      </c>
      <c r="F102" s="14" t="n">
        <v>3722.6</v>
      </c>
      <c r="G102" t="inlineStr">
        <is>
          <t>Paid</t>
        </is>
      </c>
      <c r="H102">
        <f>IF(G102="Overdue",DATE(2026,10,1)-E102,0)</f>
        <v/>
      </c>
    </row>
    <row r="103">
      <c r="A103" t="inlineStr">
        <is>
          <t>INV-2026-102</t>
        </is>
      </c>
      <c r="B103" t="inlineStr">
        <is>
          <t>Alfa Construct</t>
        </is>
      </c>
      <c r="C103" t="inlineStr">
        <is>
          <t>2026-04</t>
        </is>
      </c>
      <c r="D103" s="13" t="n">
        <v>46116</v>
      </c>
      <c r="E103" s="13" t="n">
        <v>46146</v>
      </c>
      <c r="F103" s="14" t="n">
        <v>3393.59</v>
      </c>
      <c r="G103" t="inlineStr">
        <is>
          <t>Paid</t>
        </is>
      </c>
      <c r="H103">
        <f>IF(G103="Overdue",DATE(2026,10,1)-E103,0)</f>
        <v/>
      </c>
    </row>
    <row r="104">
      <c r="A104" t="inlineStr">
        <is>
          <t>INV-2026-103</t>
        </is>
      </c>
      <c r="B104" t="inlineStr">
        <is>
          <t>Eta Pharma</t>
        </is>
      </c>
      <c r="C104" t="inlineStr">
        <is>
          <t>2026-07</t>
        </is>
      </c>
      <c r="D104" s="13" t="n">
        <v>46213</v>
      </c>
      <c r="E104" s="13" t="n">
        <v>46243</v>
      </c>
      <c r="F104" s="14" t="n">
        <v>4927.95</v>
      </c>
      <c r="G104" t="inlineStr">
        <is>
          <t>Paid</t>
        </is>
      </c>
      <c r="H104">
        <f>IF(G104="Overdue",DATE(2026,10,1)-E104,0)</f>
        <v/>
      </c>
    </row>
    <row r="105">
      <c r="A105" t="inlineStr">
        <is>
          <t>INV-2026-104</t>
        </is>
      </c>
      <c r="B105" t="inlineStr">
        <is>
          <t>Theta Style</t>
        </is>
      </c>
      <c r="C105" t="inlineStr">
        <is>
          <t>2026-07</t>
        </is>
      </c>
      <c r="D105" s="13" t="n">
        <v>46208</v>
      </c>
      <c r="E105" s="13" t="n">
        <v>46238</v>
      </c>
      <c r="F105" s="14" t="n">
        <v>4269.43</v>
      </c>
      <c r="G105" t="inlineStr">
        <is>
          <t>Overdue</t>
        </is>
      </c>
      <c r="H105">
        <f>IF(G105="Overdue",DATE(2026,10,1)-E105,0)</f>
        <v/>
      </c>
    </row>
    <row r="106">
      <c r="A106" t="inlineStr">
        <is>
          <t>INV-2026-105</t>
        </is>
      </c>
      <c r="B106" t="inlineStr">
        <is>
          <t>Beta Media</t>
        </is>
      </c>
      <c r="C106" t="inlineStr">
        <is>
          <t>2026-04</t>
        </is>
      </c>
      <c r="D106" s="13" t="n">
        <v>46138</v>
      </c>
      <c r="E106" s="13" t="n">
        <v>46168</v>
      </c>
      <c r="F106" s="14" t="n">
        <v>3801.41</v>
      </c>
      <c r="G106" t="inlineStr">
        <is>
          <t>Paid</t>
        </is>
      </c>
      <c r="H106">
        <f>IF(G106="Overdue",DATE(2026,10,1)-E106,0)</f>
        <v/>
      </c>
    </row>
    <row r="107">
      <c r="A107" t="inlineStr">
        <is>
          <t>INV-2026-106</t>
        </is>
      </c>
      <c r="B107" t="inlineStr">
        <is>
          <t>Alfa Construct</t>
        </is>
      </c>
      <c r="C107" t="inlineStr">
        <is>
          <t>2026-04</t>
        </is>
      </c>
      <c r="D107" s="13" t="n">
        <v>46124</v>
      </c>
      <c r="E107" s="13" t="n">
        <v>46154</v>
      </c>
      <c r="F107" s="14" t="n">
        <v>1542.18</v>
      </c>
      <c r="G107" t="inlineStr">
        <is>
          <t>Paid</t>
        </is>
      </c>
      <c r="H107">
        <f>IF(G107="Overdue",DATE(2026,10,1)-E107,0)</f>
        <v/>
      </c>
    </row>
    <row r="108">
      <c r="A108" t="inlineStr">
        <is>
          <t>INV-2026-107</t>
        </is>
      </c>
      <c r="B108" t="inlineStr">
        <is>
          <t>Zeta Logistics</t>
        </is>
      </c>
      <c r="C108" t="inlineStr">
        <is>
          <t>2026-07</t>
        </is>
      </c>
      <c r="D108" s="13" t="n">
        <v>46224</v>
      </c>
      <c r="E108" s="13" t="n">
        <v>46254</v>
      </c>
      <c r="F108" s="14" t="n">
        <v>4182.4</v>
      </c>
      <c r="G108" t="inlineStr">
        <is>
          <t>Overdue</t>
        </is>
      </c>
      <c r="H108">
        <f>IF(G108="Overdue",DATE(2026,10,1)-E108,0)</f>
        <v/>
      </c>
    </row>
    <row r="109">
      <c r="A109" t="inlineStr">
        <is>
          <t>INV-2026-108</t>
        </is>
      </c>
      <c r="B109" t="inlineStr">
        <is>
          <t>Epsilon Tech</t>
        </is>
      </c>
      <c r="C109" t="inlineStr">
        <is>
          <t>2026-05</t>
        </is>
      </c>
      <c r="D109" s="13" t="n">
        <v>46150</v>
      </c>
      <c r="E109" s="13" t="n">
        <v>46180</v>
      </c>
      <c r="F109" s="14" t="n">
        <v>3525.67</v>
      </c>
      <c r="G109" t="inlineStr">
        <is>
          <t>Paid</t>
        </is>
      </c>
      <c r="H109">
        <f>IF(G109="Overdue",DATE(2026,10,1)-E109,0)</f>
        <v/>
      </c>
    </row>
    <row r="110">
      <c r="A110" t="inlineStr">
        <is>
          <t>INV-2026-109</t>
        </is>
      </c>
      <c r="B110" t="inlineStr">
        <is>
          <t>Epsilon Tech</t>
        </is>
      </c>
      <c r="C110" t="inlineStr">
        <is>
          <t>2026-02</t>
        </is>
      </c>
      <c r="D110" s="13" t="n">
        <v>46059</v>
      </c>
      <c r="E110" s="13" t="n">
        <v>46089</v>
      </c>
      <c r="F110" s="14" t="n">
        <v>1762.23</v>
      </c>
      <c r="G110" t="inlineStr">
        <is>
          <t>Paid</t>
        </is>
      </c>
      <c r="H110">
        <f>IF(G110="Overdue",DATE(2026,10,1)-E110,0)</f>
        <v/>
      </c>
    </row>
    <row r="111">
      <c r="A111" t="inlineStr">
        <is>
          <t>INV-2026-110</t>
        </is>
      </c>
      <c r="B111" t="inlineStr">
        <is>
          <t>Beta Media</t>
        </is>
      </c>
      <c r="C111" t="inlineStr">
        <is>
          <t>2026-02</t>
        </is>
      </c>
      <c r="D111" s="13" t="n">
        <v>46079</v>
      </c>
      <c r="E111" s="13" t="n">
        <v>46109</v>
      </c>
      <c r="F111" s="14" t="n">
        <v>2763.63</v>
      </c>
      <c r="G111" t="inlineStr">
        <is>
          <t>Paid</t>
        </is>
      </c>
      <c r="H111">
        <f>IF(G111="Overdue",DATE(2026,10,1)-E111,0)</f>
        <v/>
      </c>
    </row>
    <row r="112">
      <c r="A112" t="inlineStr">
        <is>
          <t>INV-2026-111</t>
        </is>
      </c>
      <c r="B112" t="inlineStr">
        <is>
          <t>Beta Media</t>
        </is>
      </c>
      <c r="C112" t="inlineStr">
        <is>
          <t>2026-07</t>
        </is>
      </c>
      <c r="D112" s="13" t="n">
        <v>46231</v>
      </c>
      <c r="E112" s="13" t="n">
        <v>46261</v>
      </c>
      <c r="F112" s="14" t="n">
        <v>3693.42</v>
      </c>
      <c r="G112" t="inlineStr">
        <is>
          <t>Paid</t>
        </is>
      </c>
      <c r="H112">
        <f>IF(G112="Overdue",DATE(2026,10,1)-E112,0)</f>
        <v/>
      </c>
    </row>
    <row r="113">
      <c r="A113" t="inlineStr">
        <is>
          <t>INV-2026-112</t>
        </is>
      </c>
      <c r="B113" t="inlineStr">
        <is>
          <t>Delta Foods</t>
        </is>
      </c>
      <c r="C113" t="inlineStr">
        <is>
          <t>2026-04</t>
        </is>
      </c>
      <c r="D113" s="13" t="n">
        <v>46132</v>
      </c>
      <c r="E113" s="13" t="n">
        <v>46162</v>
      </c>
      <c r="F113" s="14" t="n">
        <v>572.41</v>
      </c>
      <c r="G113" t="inlineStr">
        <is>
          <t>Paid</t>
        </is>
      </c>
      <c r="H113">
        <f>IF(G113="Overdue",DATE(2026,10,1)-E113,0)</f>
        <v/>
      </c>
    </row>
    <row r="114">
      <c r="A114" t="inlineStr">
        <is>
          <t>INV-2026-113</t>
        </is>
      </c>
      <c r="B114" t="inlineStr">
        <is>
          <t>Zeta Logistics</t>
        </is>
      </c>
      <c r="C114" t="inlineStr">
        <is>
          <t>2026-05</t>
        </is>
      </c>
      <c r="D114" s="13" t="n">
        <v>46155</v>
      </c>
      <c r="E114" s="13" t="n">
        <v>46185</v>
      </c>
      <c r="F114" s="14" t="n">
        <v>4014.27</v>
      </c>
      <c r="G114" t="inlineStr">
        <is>
          <t>Paid</t>
        </is>
      </c>
      <c r="H114">
        <f>IF(G114="Overdue",DATE(2026,10,1)-E114,0)</f>
        <v/>
      </c>
    </row>
    <row r="115">
      <c r="A115" t="inlineStr">
        <is>
          <t>INV-2026-114</t>
        </is>
      </c>
      <c r="B115" t="inlineStr">
        <is>
          <t>Alfa Construct</t>
        </is>
      </c>
      <c r="C115" t="inlineStr">
        <is>
          <t>2026-04</t>
        </is>
      </c>
      <c r="D115" s="13" t="n">
        <v>46137</v>
      </c>
      <c r="E115" s="13" t="n">
        <v>46167</v>
      </c>
      <c r="F115" s="14" t="n">
        <v>3771.92</v>
      </c>
      <c r="G115" t="inlineStr">
        <is>
          <t>Paid</t>
        </is>
      </c>
      <c r="H115">
        <f>IF(G115="Overdue",DATE(2026,10,1)-E115,0)</f>
        <v/>
      </c>
    </row>
    <row r="116">
      <c r="A116" t="inlineStr">
        <is>
          <t>INV-2026-115</t>
        </is>
      </c>
      <c r="B116" t="inlineStr">
        <is>
          <t>Theta Style</t>
        </is>
      </c>
      <c r="C116" t="inlineStr">
        <is>
          <t>2026-03</t>
        </is>
      </c>
      <c r="D116" s="13" t="n">
        <v>46095</v>
      </c>
      <c r="E116" s="13" t="n">
        <v>46125</v>
      </c>
      <c r="F116" s="14" t="n">
        <v>4571.93</v>
      </c>
      <c r="G116" t="inlineStr">
        <is>
          <t>Paid</t>
        </is>
      </c>
      <c r="H116">
        <f>IF(G116="Overdue",DATE(2026,10,1)-E116,0)</f>
        <v/>
      </c>
    </row>
    <row r="117">
      <c r="A117" t="inlineStr">
        <is>
          <t>INV-2026-116</t>
        </is>
      </c>
      <c r="B117" t="inlineStr">
        <is>
          <t>Delta Foods</t>
        </is>
      </c>
      <c r="C117" t="inlineStr">
        <is>
          <t>2026-06</t>
        </is>
      </c>
      <c r="D117" s="13" t="n">
        <v>46178</v>
      </c>
      <c r="E117" s="13" t="n">
        <v>46208</v>
      </c>
      <c r="F117" s="14" t="n">
        <v>465.33</v>
      </c>
      <c r="G117" t="inlineStr">
        <is>
          <t>Paid</t>
        </is>
      </c>
      <c r="H117">
        <f>IF(G117="Overdue",DATE(2026,10,1)-E117,0)</f>
        <v/>
      </c>
    </row>
    <row r="118">
      <c r="A118" t="inlineStr">
        <is>
          <t>INV-2026-117</t>
        </is>
      </c>
      <c r="B118" t="inlineStr">
        <is>
          <t>Alfa Construct</t>
        </is>
      </c>
      <c r="C118" t="inlineStr">
        <is>
          <t>2026-01</t>
        </is>
      </c>
      <c r="D118" s="13" t="n">
        <v>46032</v>
      </c>
      <c r="E118" s="13" t="n">
        <v>46062</v>
      </c>
      <c r="F118" s="14" t="n">
        <v>4858.8</v>
      </c>
      <c r="G118" t="inlineStr">
        <is>
          <t>Paid</t>
        </is>
      </c>
      <c r="H118">
        <f>IF(G118="Overdue",DATE(2026,10,1)-E118,0)</f>
        <v/>
      </c>
    </row>
    <row r="119">
      <c r="A119" t="inlineStr">
        <is>
          <t>INV-2026-118</t>
        </is>
      </c>
      <c r="B119" t="inlineStr">
        <is>
          <t>Eta Pharma</t>
        </is>
      </c>
      <c r="C119" t="inlineStr">
        <is>
          <t>2026-07</t>
        </is>
      </c>
      <c r="D119" s="13" t="n">
        <v>46217</v>
      </c>
      <c r="E119" s="13" t="n">
        <v>46247</v>
      </c>
      <c r="F119" s="14" t="n">
        <v>2852.51</v>
      </c>
      <c r="G119" t="inlineStr">
        <is>
          <t>Paid</t>
        </is>
      </c>
      <c r="H119">
        <f>IF(G119="Overdue",DATE(2026,10,1)-E119,0)</f>
        <v/>
      </c>
    </row>
    <row r="120">
      <c r="A120" t="inlineStr">
        <is>
          <t>INV-2026-119</t>
        </is>
      </c>
      <c r="B120" t="inlineStr">
        <is>
          <t>Eta Pharma</t>
        </is>
      </c>
      <c r="C120" t="inlineStr">
        <is>
          <t>2026-07</t>
        </is>
      </c>
      <c r="D120" s="13" t="n">
        <v>46215</v>
      </c>
      <c r="E120" s="13" t="n">
        <v>46245</v>
      </c>
      <c r="F120" s="14" t="n">
        <v>463.4</v>
      </c>
      <c r="G120" t="inlineStr">
        <is>
          <t>Paid</t>
        </is>
      </c>
      <c r="H120">
        <f>IF(G120="Overdue",DATE(2026,10,1)-E120,0)</f>
        <v/>
      </c>
    </row>
    <row r="121">
      <c r="A121" t="inlineStr">
        <is>
          <t>INV-2026-120</t>
        </is>
      </c>
      <c r="B121" t="inlineStr">
        <is>
          <t>Eta Pharma</t>
        </is>
      </c>
      <c r="C121" t="inlineStr">
        <is>
          <t>2026-07</t>
        </is>
      </c>
      <c r="D121" s="13" t="n">
        <v>46205</v>
      </c>
      <c r="E121" s="13" t="n">
        <v>46235</v>
      </c>
      <c r="F121" s="14" t="n">
        <v>2422.8</v>
      </c>
      <c r="G121" t="inlineStr">
        <is>
          <t>Overdue</t>
        </is>
      </c>
      <c r="H121">
        <f>IF(G121="Overdue",DATE(2026,10,1)-E121,0)</f>
        <v/>
      </c>
    </row>
  </sheetData>
  <autoFilter ref="A1:H121"/>
  <conditionalFormatting sqref="G2:G121">
    <cfRule type="cellIs" priority="1" operator="equal" dxfId="0">
      <formula>"Paid"</formula>
    </cfRule>
    <cfRule type="cellIs" priority="2" operator="equal" dxfId="1">
      <formula>"Overdue"</formula>
    </cfRule>
    <cfRule type="cellIs" priority="3" operator="equal" dxfId="2">
      <formula>"Pending"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Amount</t>
        </is>
      </c>
      <c r="D1" t="inlineStr">
        <is>
          <t>Month</t>
        </is>
      </c>
      <c r="E1" t="inlineStr">
        <is>
          <t>Invoiced</t>
        </is>
      </c>
      <c r="G1" t="inlineStr">
        <is>
          <t>Client</t>
        </is>
      </c>
      <c r="H1" t="inlineStr">
        <is>
          <t>Outstanding</t>
        </is>
      </c>
      <c r="J1" t="inlineStr">
        <is>
          <t>Status</t>
        </is>
      </c>
      <c r="K1" t="inlineStr">
        <is>
          <t>Invoices</t>
        </is>
      </c>
      <c r="M1" t="inlineStr">
        <is>
          <t>Aging</t>
        </is>
      </c>
      <c r="N1" t="inlineStr">
        <is>
          <t>Amount</t>
        </is>
      </c>
    </row>
    <row r="2">
      <c r="A2" t="inlineStr">
        <is>
          <t>Paid</t>
        </is>
      </c>
      <c r="B2">
        <f>SUMIF(Data!$G$2:$G$121,A2,Data!$F$2:$F$121)</f>
        <v/>
      </c>
      <c r="D2" t="inlineStr">
        <is>
          <t>2026-01</t>
        </is>
      </c>
      <c r="E2">
        <f>SUMIF(Data!$C$2:$C$121,D2,Data!$F$2:$F$121)</f>
        <v/>
      </c>
      <c r="G2" t="inlineStr">
        <is>
          <t>Alfa Construct</t>
        </is>
      </c>
      <c r="H2">
        <f>SUMIFS(Data!$F$2:$F$121,Data!$B$2:$B$121,G2,Data!$G$2:$G$121,"&lt;&gt;Paid")</f>
        <v/>
      </c>
      <c r="J2" t="inlineStr">
        <is>
          <t>Paid</t>
        </is>
      </c>
      <c r="K2">
        <f>COUNTIF(Data!$G$2:$G$121,J2)</f>
        <v/>
      </c>
      <c r="M2" t="inlineStr">
        <is>
          <t>1-30 days</t>
        </is>
      </c>
      <c r="N2">
        <f>SUMIFS(Data!$F$2:$F$121,Data!$H$2:$H$121,"&gt;=1",Data!$H$2:$H$121,"&lt;=30")</f>
        <v/>
      </c>
    </row>
    <row r="3">
      <c r="A3" t="inlineStr">
        <is>
          <t>Overdue</t>
        </is>
      </c>
      <c r="B3">
        <f>SUMIF(Data!$G$2:$G$121,A3,Data!$F$2:$F$121)</f>
        <v/>
      </c>
      <c r="D3" t="inlineStr">
        <is>
          <t>2026-02</t>
        </is>
      </c>
      <c r="E3">
        <f>SUMIF(Data!$C$2:$C$121,D3,Data!$F$2:$F$121)</f>
        <v/>
      </c>
      <c r="G3" t="inlineStr">
        <is>
          <t>Beta Media</t>
        </is>
      </c>
      <c r="H3">
        <f>SUMIFS(Data!$F$2:$F$121,Data!$B$2:$B$121,G3,Data!$G$2:$G$121,"&lt;&gt;Paid")</f>
        <v/>
      </c>
      <c r="J3" t="inlineStr">
        <is>
          <t>Overdue</t>
        </is>
      </c>
      <c r="K3">
        <f>COUNTIF(Data!$G$2:$G$121,J3)</f>
        <v/>
      </c>
      <c r="M3" t="inlineStr">
        <is>
          <t>31-60 days</t>
        </is>
      </c>
      <c r="N3">
        <f>SUMIFS(Data!$F$2:$F$121,Data!$H$2:$H$121,"&gt;=1",Data!$H$2:$H$121,"&lt;=30")</f>
        <v/>
      </c>
    </row>
    <row r="4">
      <c r="A4" t="inlineStr">
        <is>
          <t>Pending</t>
        </is>
      </c>
      <c r="B4">
        <f>SUMIF(Data!$G$2:$G$121,A4,Data!$F$2:$F$121)</f>
        <v/>
      </c>
      <c r="D4" t="inlineStr">
        <is>
          <t>2026-03</t>
        </is>
      </c>
      <c r="E4">
        <f>SUMIF(Data!$C$2:$C$121,D4,Data!$F$2:$F$121)</f>
        <v/>
      </c>
      <c r="G4" t="inlineStr">
        <is>
          <t>Gamma Retail</t>
        </is>
      </c>
      <c r="H4">
        <f>SUMIFS(Data!$F$2:$F$121,Data!$B$2:$B$121,G4,Data!$G$2:$G$121,"&lt;&gt;Paid")</f>
        <v/>
      </c>
      <c r="J4" t="inlineStr">
        <is>
          <t>Pending</t>
        </is>
      </c>
      <c r="K4">
        <f>COUNTIF(Data!$G$2:$G$121,J4)</f>
        <v/>
      </c>
      <c r="M4" t="inlineStr">
        <is>
          <t>61-90 days</t>
        </is>
      </c>
      <c r="N4">
        <f>SUMIFS(Data!$F$2:$F$121,Data!$H$2:$H$121,"&gt;=1",Data!$H$2:$H$121,"&lt;=30")</f>
        <v/>
      </c>
    </row>
    <row r="5">
      <c r="D5" t="inlineStr">
        <is>
          <t>2026-04</t>
        </is>
      </c>
      <c r="E5">
        <f>SUMIF(Data!$C$2:$C$121,D5,Data!$F$2:$F$121)</f>
        <v/>
      </c>
      <c r="G5" t="inlineStr">
        <is>
          <t>Delta Foods</t>
        </is>
      </c>
      <c r="H5">
        <f>SUMIFS(Data!$F$2:$F$121,Data!$B$2:$B$121,G5,Data!$G$2:$G$121,"&lt;&gt;Paid")</f>
        <v/>
      </c>
      <c r="M5">
        <f>SUMIFS(Data!$F$2:$F$121,Data!$H$2:$H$121,"&gt;=31",Data!$H$2:$H$121,"&lt;=60")</f>
        <v/>
      </c>
      <c r="N5">
        <f>SUMIFS(Data!$F$2:$F$121,Data!$H$2:$H$121,"&gt;=1",Data!$H$2:$H$121,"&lt;=30")</f>
        <v/>
      </c>
    </row>
    <row r="6">
      <c r="D6" t="inlineStr">
        <is>
          <t>2026-05</t>
        </is>
      </c>
      <c r="E6">
        <f>SUMIF(Data!$C$2:$C$121,D6,Data!$F$2:$F$121)</f>
        <v/>
      </c>
      <c r="G6" t="inlineStr">
        <is>
          <t>Epsilon Tech</t>
        </is>
      </c>
      <c r="H6">
        <f>SUMIFS(Data!$F$2:$F$121,Data!$B$2:$B$121,G6,Data!$G$2:$G$121,"&lt;&gt;Paid")</f>
        <v/>
      </c>
      <c r="M6">
        <f>SUMIFS(Data!$F$2:$F$121,Data!$H$2:$H$121,"&gt;=61",Data!$H$2:$H$121,"&lt;=90")</f>
        <v/>
      </c>
    </row>
    <row r="7">
      <c r="D7" t="inlineStr">
        <is>
          <t>2026-06</t>
        </is>
      </c>
      <c r="E7">
        <f>SUMIF(Data!$C$2:$C$121,D7,Data!$F$2:$F$121)</f>
        <v/>
      </c>
      <c r="G7" t="inlineStr">
        <is>
          <t>Zeta Logistics</t>
        </is>
      </c>
      <c r="H7">
        <f>SUMIFS(Data!$F$2:$F$121,Data!$B$2:$B$121,G7,Data!$G$2:$G$121,"&lt;&gt;Paid")</f>
        <v/>
      </c>
      <c r="M7">
        <f>SUMIFS(Data!$F$2:$F$121,Data!$H$2:$H$121,"&gt;=91")</f>
        <v/>
      </c>
    </row>
    <row r="8">
      <c r="D8" t="inlineStr">
        <is>
          <t>2026-07</t>
        </is>
      </c>
      <c r="E8">
        <f>SUMIF(Data!$C$2:$C$121,D8,Data!$F$2:$F$121)</f>
        <v/>
      </c>
      <c r="G8" t="inlineStr">
        <is>
          <t>Eta Pharma</t>
        </is>
      </c>
      <c r="H8">
        <f>SUMIFS(Data!$F$2:$F$121,Data!$B$2:$B$121,G8,Data!$G$2:$G$121,"&lt;&gt;Paid")</f>
        <v/>
      </c>
    </row>
    <row r="9">
      <c r="D9" t="inlineStr">
        <is>
          <t>2026-08</t>
        </is>
      </c>
      <c r="E9">
        <f>SUMIF(Data!$C$2:$C$121,D9,Data!$F$2:$F$121)</f>
        <v/>
      </c>
      <c r="G9" t="inlineStr">
        <is>
          <t>Theta Style</t>
        </is>
      </c>
      <c r="H9">
        <f>SUMIFS(Data!$F$2:$F$121,Data!$B$2:$B$121,G9,Data!$G$2:$G$121,"&lt;&gt;Paid")</f>
        <v/>
      </c>
    </row>
    <row r="10">
      <c r="D10" t="inlineStr">
        <is>
          <t>2026-09</t>
        </is>
      </c>
      <c r="E10">
        <f>SUMIF(Data!$C$2:$C$121,D10,Data!$F$2:$F$121)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2026-10-04T07:36:18Z</dcterms:created>
  <dcterms:modified xmlns:dcterms="http://purl.org/dc/terms/" xmlns:xsi="http://www.w3.org/2001/XMLSchema-instance" xsi:type="dcterms:W3CDTF">2026-10-04T07:36:18Z</dcterms:modified>
</cp:coreProperties>
</file>