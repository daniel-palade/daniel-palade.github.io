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" sheetId="3" state="hidden" r:id="rId3"/>
  </sheets>
  <definedNames>
    <definedName name="_xlnm._FilterDatabase" localSheetId="1" hidden="1">'Data'!$A$1:$H$121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808080"/>
      <sz val="10"/>
    </font>
    <font>
      <b val="1"/>
      <color rgb="00FFFFFF"/>
      <sz val="11"/>
    </font>
    <font>
      <b val="1"/>
      <color rgb="001F4E79"/>
      <sz val="16"/>
    </font>
    <font>
      <b val="1"/>
      <color rgb="00FFFFFF"/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C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Attendance Rate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'Calc'!E1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'Calc'!$D$2:$D$13</f>
            </numRef>
          </cat>
          <val>
            <numRef>
              <f>'Calc'!$E$2:$E$13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Attendance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'Calc'!$A$2:$A$6</f>
            </numRef>
          </cat>
          <val>
            <numRef>
              <f>'Calc'!$B$2:$B$6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Late Days by Employee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'Calc'!$G$2:$G$11</f>
            </numRef>
          </cat>
          <val>
            <numRef>
              <f>'Calc'!$H$2:$H$11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Attendance Rate by Employee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'Calc'!$J$2:$J$11</f>
            </numRef>
          </cat>
          <val>
            <numRef>
              <f>'Calc'!$K$2:$K$11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27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27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EMPLOYEE ATTENDANCE REPORT 2026</t>
        </is>
      </c>
    </row>
    <row r="2"/>
    <row r="3">
      <c r="A3" s="2" t="inlineStr">
        <is>
          <t>Monthly tracking - attendance rate, late days and absences per employee &amp; department</t>
        </is>
      </c>
    </row>
    <row r="4" ht="22" customHeight="1">
      <c r="B4" s="3" t="inlineStr">
        <is>
          <t>AVG ATTENDANCE RATE</t>
        </is>
      </c>
      <c r="E4" s="3" t="inlineStr">
        <is>
          <t>TOTAL LATE DAYS</t>
        </is>
      </c>
      <c r="H4" s="3" t="inlineStr">
        <is>
          <t>TOTAL ABSENT DAYS</t>
        </is>
      </c>
      <c r="K4" s="3" t="inlineStr">
        <is>
          <t>PERFECT MONTHS</t>
        </is>
      </c>
    </row>
    <row r="5" ht="30" customHeight="1">
      <c r="B5" s="4">
        <f>AVERAGE(Data!H2:H121)</f>
        <v/>
      </c>
      <c r="E5" s="5">
        <f>SUM(Data!E2:E121)</f>
        <v/>
      </c>
      <c r="H5" s="5">
        <f>SUM(Data!F2:F121)</f>
        <v/>
      </c>
      <c r="K5" s="5">
        <f>COUNTIF(Data!H2:H121,1)</f>
        <v/>
      </c>
    </row>
    <row r="7" ht="20" customHeight="1">
      <c r="B7" s="6" t="inlineStr">
        <is>
          <t>BEST DEPARTMENT</t>
        </is>
      </c>
      <c r="E7" s="6" t="inlineStr">
        <is>
          <t>TOP EMPLOYEE</t>
        </is>
      </c>
      <c r="H7" s="6" t="inlineStr">
        <is>
          <t>MOST LATE DAYS</t>
        </is>
      </c>
      <c r="K7" s="6" t="inlineStr">
        <is>
          <t>BEST MONTH</t>
        </is>
      </c>
    </row>
    <row r="8" ht="26" customHeight="1">
      <c r="B8" s="7">
        <f>INDEX(Calc!A2:A6,MATCH(MAX(Calc!B2:B6),Calc!B2:B6,0))</f>
        <v/>
      </c>
      <c r="E8" s="7">
        <f>INDEX(Calc!J2:J11,MATCH(MAX(Calc!K2:K11),Calc!K2:K11,0))</f>
        <v/>
      </c>
      <c r="H8" s="7">
        <f>INDEX(Calc!G2:G11,MATCH(MAX(Calc!H2:H11),Calc!H2:H11,0))</f>
        <v/>
      </c>
      <c r="K8" s="7">
        <f>INDEX(Calc!D2:D13,MATCH(MAX(Calc!E2:E13),Calc!E2:E13,0))</f>
        <v/>
      </c>
    </row>
  </sheetData>
  <mergeCells count="18">
    <mergeCell ref="K8:L8"/>
    <mergeCell ref="H4:I4"/>
    <mergeCell ref="K5:L5"/>
    <mergeCell ref="H7:I7"/>
    <mergeCell ref="H5:I5"/>
    <mergeCell ref="E7:F7"/>
    <mergeCell ref="B8:C8"/>
    <mergeCell ref="B5:C5"/>
    <mergeCell ref="E4:F4"/>
    <mergeCell ref="E8:F8"/>
    <mergeCell ref="H8:I8"/>
    <mergeCell ref="A3:M3"/>
    <mergeCell ref="B4:C4"/>
    <mergeCell ref="E5:F5"/>
    <mergeCell ref="K7:L7"/>
    <mergeCell ref="B7:C7"/>
    <mergeCell ref="K4:L4"/>
    <mergeCell ref="A1:M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2" customWidth="1" min="4" max="4"/>
    <col width="10" customWidth="1" min="5" max="5"/>
    <col width="11" customWidth="1" min="6" max="6"/>
    <col width="9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Employee</t>
        </is>
      </c>
      <c r="C1" s="8" t="inlineStr">
        <is>
          <t>Department</t>
        </is>
      </c>
      <c r="D1" s="8" t="inlineStr">
        <is>
          <t>Days Present</t>
        </is>
      </c>
      <c r="E1" s="8" t="inlineStr">
        <is>
          <t>Days Late</t>
        </is>
      </c>
      <c r="F1" s="8" t="inlineStr">
        <is>
          <t>Days Absent</t>
        </is>
      </c>
      <c r="G1" s="8" t="inlineStr">
        <is>
          <t>Days Off</t>
        </is>
      </c>
      <c r="H1" s="8" t="inlineStr">
        <is>
          <t>Attendance Rate</t>
        </is>
      </c>
    </row>
    <row r="2">
      <c r="A2" s="9" t="inlineStr">
        <is>
          <t>2026-01</t>
        </is>
      </c>
      <c r="B2" s="9" t="inlineStr">
        <is>
          <t>Ana Marinescu</t>
        </is>
      </c>
      <c r="C2" s="9" t="inlineStr">
        <is>
          <t>Sales</t>
        </is>
      </c>
      <c r="D2" s="9" t="n">
        <v>18</v>
      </c>
      <c r="E2" s="9" t="n">
        <v>1</v>
      </c>
      <c r="F2" s="9" t="n">
        <v>1</v>
      </c>
      <c r="G2" s="9" t="n">
        <v>2</v>
      </c>
      <c r="H2" s="10">
        <f>D2/22</f>
        <v/>
      </c>
    </row>
    <row r="3">
      <c r="A3" t="inlineStr">
        <is>
          <t>2026-01</t>
        </is>
      </c>
      <c r="B3" t="inlineStr">
        <is>
          <t>Bogdan Radu</t>
        </is>
      </c>
      <c r="C3" t="inlineStr">
        <is>
          <t>Sales</t>
        </is>
      </c>
      <c r="D3" t="n">
        <v>14</v>
      </c>
      <c r="E3" t="n">
        <v>4</v>
      </c>
      <c r="F3" t="n">
        <v>3</v>
      </c>
      <c r="G3" t="n">
        <v>1</v>
      </c>
      <c r="H3" s="11">
        <f>D3/22</f>
        <v/>
      </c>
    </row>
    <row r="4">
      <c r="A4" s="9" t="inlineStr">
        <is>
          <t>2026-01</t>
        </is>
      </c>
      <c r="B4" s="9" t="inlineStr">
        <is>
          <t>Carmen Popa</t>
        </is>
      </c>
      <c r="C4" s="9" t="inlineStr">
        <is>
          <t>Operations</t>
        </is>
      </c>
      <c r="D4" s="9" t="n">
        <v>15</v>
      </c>
      <c r="E4" s="9" t="n">
        <v>4</v>
      </c>
      <c r="F4" s="9" t="n">
        <v>1</v>
      </c>
      <c r="G4" s="9" t="n">
        <v>2</v>
      </c>
      <c r="H4" s="10">
        <f>D4/22</f>
        <v/>
      </c>
    </row>
    <row r="5">
      <c r="A5" t="inlineStr">
        <is>
          <t>2026-01</t>
        </is>
      </c>
      <c r="B5" t="inlineStr">
        <is>
          <t>David Stan</t>
        </is>
      </c>
      <c r="C5" t="inlineStr">
        <is>
          <t>Operations</t>
        </is>
      </c>
      <c r="D5" t="n">
        <v>14</v>
      </c>
      <c r="E5" t="n">
        <v>4</v>
      </c>
      <c r="F5" t="n">
        <v>2</v>
      </c>
      <c r="G5" t="n">
        <v>2</v>
      </c>
      <c r="H5" s="11">
        <f>D5/22</f>
        <v/>
      </c>
    </row>
    <row r="6">
      <c r="A6" s="9" t="inlineStr">
        <is>
          <t>2026-01</t>
        </is>
      </c>
      <c r="B6" s="9" t="inlineStr">
        <is>
          <t>Elena Vasile</t>
        </is>
      </c>
      <c r="C6" s="9" t="inlineStr">
        <is>
          <t>HR</t>
        </is>
      </c>
      <c r="D6" s="9" t="n">
        <v>16</v>
      </c>
      <c r="E6" s="9" t="n">
        <v>2</v>
      </c>
      <c r="F6" s="9" t="n">
        <v>3</v>
      </c>
      <c r="G6" s="9" t="n">
        <v>1</v>
      </c>
      <c r="H6" s="10">
        <f>D6/22</f>
        <v/>
      </c>
    </row>
    <row r="7">
      <c r="A7" t="inlineStr">
        <is>
          <t>2026-01</t>
        </is>
      </c>
      <c r="B7" t="inlineStr">
        <is>
          <t>Filip Barbu</t>
        </is>
      </c>
      <c r="C7" t="inlineStr">
        <is>
          <t>HR</t>
        </is>
      </c>
      <c r="D7" t="n">
        <v>18</v>
      </c>
      <c r="E7" t="n">
        <v>2</v>
      </c>
      <c r="F7" t="n">
        <v>0</v>
      </c>
      <c r="G7" t="n">
        <v>2</v>
      </c>
      <c r="H7" s="11">
        <f>D7/22</f>
        <v/>
      </c>
    </row>
    <row r="8">
      <c r="A8" s="9" t="inlineStr">
        <is>
          <t>2026-01</t>
        </is>
      </c>
      <c r="B8" s="9" t="inlineStr">
        <is>
          <t>Georgiana Mara</t>
        </is>
      </c>
      <c r="C8" s="9" t="inlineStr">
        <is>
          <t>Finance</t>
        </is>
      </c>
      <c r="D8" s="9" t="n">
        <v>15</v>
      </c>
      <c r="E8" s="9" t="n">
        <v>4</v>
      </c>
      <c r="F8" s="9" t="n">
        <v>2</v>
      </c>
      <c r="G8" s="9" t="n">
        <v>1</v>
      </c>
      <c r="H8" s="10">
        <f>D8/22</f>
        <v/>
      </c>
    </row>
    <row r="9">
      <c r="A9" t="inlineStr">
        <is>
          <t>2026-01</t>
        </is>
      </c>
      <c r="B9" t="inlineStr">
        <is>
          <t>Horia Lazarescu</t>
        </is>
      </c>
      <c r="C9" t="inlineStr">
        <is>
          <t>Finance</t>
        </is>
      </c>
      <c r="D9" t="n">
        <v>17</v>
      </c>
      <c r="E9" t="n">
        <v>4</v>
      </c>
      <c r="F9" t="n">
        <v>0</v>
      </c>
      <c r="G9" t="n">
        <v>1</v>
      </c>
      <c r="H9" s="11">
        <f>D9/22</f>
        <v/>
      </c>
    </row>
    <row r="10">
      <c r="A10" s="9" t="inlineStr">
        <is>
          <t>2026-01</t>
        </is>
      </c>
      <c r="B10" s="9" t="inlineStr">
        <is>
          <t>Ingrid Marinescu</t>
        </is>
      </c>
      <c r="C10" s="9" t="inlineStr">
        <is>
          <t>IT</t>
        </is>
      </c>
      <c r="D10" s="9" t="n">
        <v>15</v>
      </c>
      <c r="E10" s="9" t="n">
        <v>2</v>
      </c>
      <c r="F10" s="9" t="n">
        <v>3</v>
      </c>
      <c r="G10" s="9" t="n">
        <v>2</v>
      </c>
      <c r="H10" s="10">
        <f>D10/22</f>
        <v/>
      </c>
    </row>
    <row r="11">
      <c r="A11" t="inlineStr">
        <is>
          <t>2026-01</t>
        </is>
      </c>
      <c r="B11" t="inlineStr">
        <is>
          <t>Julian Petrescu</t>
        </is>
      </c>
      <c r="C11" t="inlineStr">
        <is>
          <t>IT</t>
        </is>
      </c>
      <c r="D11" t="n">
        <v>20</v>
      </c>
      <c r="E11" t="n">
        <v>0</v>
      </c>
      <c r="F11" t="n">
        <v>1</v>
      </c>
      <c r="G11" t="n">
        <v>1</v>
      </c>
      <c r="H11" s="11">
        <f>D11/22</f>
        <v/>
      </c>
    </row>
    <row r="12">
      <c r="A12" s="9" t="inlineStr">
        <is>
          <t>2026-02</t>
        </is>
      </c>
      <c r="B12" s="9" t="inlineStr">
        <is>
          <t>Ana Marinescu</t>
        </is>
      </c>
      <c r="C12" s="9" t="inlineStr">
        <is>
          <t>Sales</t>
        </is>
      </c>
      <c r="D12" s="9" t="n">
        <v>18</v>
      </c>
      <c r="E12" s="9" t="n">
        <v>2</v>
      </c>
      <c r="F12" s="9" t="n">
        <v>2</v>
      </c>
      <c r="G12" s="9" t="n">
        <v>0</v>
      </c>
      <c r="H12" s="10">
        <f>D12/22</f>
        <v/>
      </c>
    </row>
    <row r="13">
      <c r="A13" t="inlineStr">
        <is>
          <t>2026-02</t>
        </is>
      </c>
      <c r="B13" t="inlineStr">
        <is>
          <t>Bogdan Radu</t>
        </is>
      </c>
      <c r="C13" t="inlineStr">
        <is>
          <t>Sales</t>
        </is>
      </c>
      <c r="D13" t="n">
        <v>20</v>
      </c>
      <c r="E13" t="n">
        <v>2</v>
      </c>
      <c r="F13" t="n">
        <v>0</v>
      </c>
      <c r="G13" t="n">
        <v>0</v>
      </c>
      <c r="H13" s="11">
        <f>D13/22</f>
        <v/>
      </c>
    </row>
    <row r="14">
      <c r="A14" s="9" t="inlineStr">
        <is>
          <t>2026-02</t>
        </is>
      </c>
      <c r="B14" s="9" t="inlineStr">
        <is>
          <t>Carmen Popa</t>
        </is>
      </c>
      <c r="C14" s="9" t="inlineStr">
        <is>
          <t>Operations</t>
        </is>
      </c>
      <c r="D14" s="9" t="n">
        <v>19</v>
      </c>
      <c r="E14" s="9" t="n">
        <v>1</v>
      </c>
      <c r="F14" s="9" t="n">
        <v>2</v>
      </c>
      <c r="G14" s="9" t="n">
        <v>0</v>
      </c>
      <c r="H14" s="10">
        <f>D14/22</f>
        <v/>
      </c>
    </row>
    <row r="15">
      <c r="A15" t="inlineStr">
        <is>
          <t>2026-02</t>
        </is>
      </c>
      <c r="B15" t="inlineStr">
        <is>
          <t>David Stan</t>
        </is>
      </c>
      <c r="C15" t="inlineStr">
        <is>
          <t>Operations</t>
        </is>
      </c>
      <c r="D15" t="n">
        <v>16</v>
      </c>
      <c r="E15" t="n">
        <v>2</v>
      </c>
      <c r="F15" t="n">
        <v>2</v>
      </c>
      <c r="G15" t="n">
        <v>2</v>
      </c>
      <c r="H15" s="11">
        <f>D15/22</f>
        <v/>
      </c>
    </row>
    <row r="16">
      <c r="A16" s="9" t="inlineStr">
        <is>
          <t>2026-02</t>
        </is>
      </c>
      <c r="B16" s="9" t="inlineStr">
        <is>
          <t>Elena Vasile</t>
        </is>
      </c>
      <c r="C16" s="9" t="inlineStr">
        <is>
          <t>HR</t>
        </is>
      </c>
      <c r="D16" s="9" t="n">
        <v>16</v>
      </c>
      <c r="E16" s="9" t="n">
        <v>4</v>
      </c>
      <c r="F16" s="9" t="n">
        <v>2</v>
      </c>
      <c r="G16" s="9" t="n">
        <v>0</v>
      </c>
      <c r="H16" s="10">
        <f>D16/22</f>
        <v/>
      </c>
    </row>
    <row r="17">
      <c r="A17" t="inlineStr">
        <is>
          <t>2026-02</t>
        </is>
      </c>
      <c r="B17" t="inlineStr">
        <is>
          <t>Filip Barbu</t>
        </is>
      </c>
      <c r="C17" t="inlineStr">
        <is>
          <t>HR</t>
        </is>
      </c>
      <c r="D17" t="n">
        <v>14</v>
      </c>
      <c r="E17" t="n">
        <v>4</v>
      </c>
      <c r="F17" t="n">
        <v>2</v>
      </c>
      <c r="G17" t="n">
        <v>2</v>
      </c>
      <c r="H17" s="11">
        <f>D17/22</f>
        <v/>
      </c>
    </row>
    <row r="18">
      <c r="A18" s="9" t="inlineStr">
        <is>
          <t>2026-02</t>
        </is>
      </c>
      <c r="B18" s="9" t="inlineStr">
        <is>
          <t>Georgiana Mara</t>
        </is>
      </c>
      <c r="C18" s="9" t="inlineStr">
        <is>
          <t>Finance</t>
        </is>
      </c>
      <c r="D18" s="9" t="n">
        <v>17</v>
      </c>
      <c r="E18" s="9" t="n">
        <v>1</v>
      </c>
      <c r="F18" s="9" t="n">
        <v>3</v>
      </c>
      <c r="G18" s="9" t="n">
        <v>1</v>
      </c>
      <c r="H18" s="10">
        <f>D18/22</f>
        <v/>
      </c>
    </row>
    <row r="19">
      <c r="A19" t="inlineStr">
        <is>
          <t>2026-02</t>
        </is>
      </c>
      <c r="B19" t="inlineStr">
        <is>
          <t>Horia Lazarescu</t>
        </is>
      </c>
      <c r="C19" t="inlineStr">
        <is>
          <t>Finance</t>
        </is>
      </c>
      <c r="D19" t="n">
        <v>20</v>
      </c>
      <c r="E19" t="n">
        <v>0</v>
      </c>
      <c r="F19" t="n">
        <v>0</v>
      </c>
      <c r="G19" t="n">
        <v>2</v>
      </c>
      <c r="H19" s="11">
        <f>D19/22</f>
        <v/>
      </c>
    </row>
    <row r="20">
      <c r="A20" s="9" t="inlineStr">
        <is>
          <t>2026-02</t>
        </is>
      </c>
      <c r="B20" s="9" t="inlineStr">
        <is>
          <t>Ingrid Marinescu</t>
        </is>
      </c>
      <c r="C20" s="9" t="inlineStr">
        <is>
          <t>IT</t>
        </is>
      </c>
      <c r="D20" s="9" t="n">
        <v>21</v>
      </c>
      <c r="E20" s="9" t="n">
        <v>0</v>
      </c>
      <c r="F20" s="9" t="n">
        <v>0</v>
      </c>
      <c r="G20" s="9" t="n">
        <v>1</v>
      </c>
      <c r="H20" s="10">
        <f>D20/22</f>
        <v/>
      </c>
    </row>
    <row r="21">
      <c r="A21" t="inlineStr">
        <is>
          <t>2026-02</t>
        </is>
      </c>
      <c r="B21" t="inlineStr">
        <is>
          <t>Julian Petrescu</t>
        </is>
      </c>
      <c r="C21" t="inlineStr">
        <is>
          <t>IT</t>
        </is>
      </c>
      <c r="D21" t="n">
        <v>22</v>
      </c>
      <c r="E21" t="n">
        <v>0</v>
      </c>
      <c r="F21" t="n">
        <v>0</v>
      </c>
      <c r="G21" t="n">
        <v>0</v>
      </c>
      <c r="H21" s="11">
        <f>D21/22</f>
        <v/>
      </c>
    </row>
    <row r="22">
      <c r="A22" s="9" t="inlineStr">
        <is>
          <t>2026-03</t>
        </is>
      </c>
      <c r="B22" s="9" t="inlineStr">
        <is>
          <t>Ana Marinescu</t>
        </is>
      </c>
      <c r="C22" s="9" t="inlineStr">
        <is>
          <t>Sales</t>
        </is>
      </c>
      <c r="D22" s="9" t="n">
        <v>21</v>
      </c>
      <c r="E22" s="9" t="n">
        <v>0</v>
      </c>
      <c r="F22" s="9" t="n">
        <v>0</v>
      </c>
      <c r="G22" s="9" t="n">
        <v>1</v>
      </c>
      <c r="H22" s="10">
        <f>D22/22</f>
        <v/>
      </c>
    </row>
    <row r="23">
      <c r="A23" t="inlineStr">
        <is>
          <t>2026-03</t>
        </is>
      </c>
      <c r="B23" t="inlineStr">
        <is>
          <t>Bogdan Radu</t>
        </is>
      </c>
      <c r="C23" t="inlineStr">
        <is>
          <t>Sales</t>
        </is>
      </c>
      <c r="D23" t="n">
        <v>17</v>
      </c>
      <c r="E23" t="n">
        <v>2</v>
      </c>
      <c r="F23" t="n">
        <v>2</v>
      </c>
      <c r="G23" t="n">
        <v>1</v>
      </c>
      <c r="H23" s="11">
        <f>D23/22</f>
        <v/>
      </c>
    </row>
    <row r="24">
      <c r="A24" s="9" t="inlineStr">
        <is>
          <t>2026-03</t>
        </is>
      </c>
      <c r="B24" s="9" t="inlineStr">
        <is>
          <t>Carmen Popa</t>
        </is>
      </c>
      <c r="C24" s="9" t="inlineStr">
        <is>
          <t>Operations</t>
        </is>
      </c>
      <c r="D24" s="9" t="n">
        <v>18</v>
      </c>
      <c r="E24" s="9" t="n">
        <v>3</v>
      </c>
      <c r="F24" s="9" t="n">
        <v>1</v>
      </c>
      <c r="G24" s="9" t="n">
        <v>0</v>
      </c>
      <c r="H24" s="10">
        <f>D24/22</f>
        <v/>
      </c>
    </row>
    <row r="25">
      <c r="A25" t="inlineStr">
        <is>
          <t>2026-03</t>
        </is>
      </c>
      <c r="B25" t="inlineStr">
        <is>
          <t>David Stan</t>
        </is>
      </c>
      <c r="C25" t="inlineStr">
        <is>
          <t>Operations</t>
        </is>
      </c>
      <c r="D25" t="n">
        <v>16</v>
      </c>
      <c r="E25" t="n">
        <v>2</v>
      </c>
      <c r="F25" t="n">
        <v>3</v>
      </c>
      <c r="G25" t="n">
        <v>1</v>
      </c>
      <c r="H25" s="11">
        <f>D25/22</f>
        <v/>
      </c>
    </row>
    <row r="26">
      <c r="A26" s="9" t="inlineStr">
        <is>
          <t>2026-03</t>
        </is>
      </c>
      <c r="B26" s="9" t="inlineStr">
        <is>
          <t>Elena Vasile</t>
        </is>
      </c>
      <c r="C26" s="9" t="inlineStr">
        <is>
          <t>HR</t>
        </is>
      </c>
      <c r="D26" s="9" t="n">
        <v>15</v>
      </c>
      <c r="E26" s="9" t="n">
        <v>2</v>
      </c>
      <c r="F26" s="9" t="n">
        <v>3</v>
      </c>
      <c r="G26" s="9" t="n">
        <v>2</v>
      </c>
      <c r="H26" s="10">
        <f>D26/22</f>
        <v/>
      </c>
    </row>
    <row r="27">
      <c r="A27" t="inlineStr">
        <is>
          <t>2026-03</t>
        </is>
      </c>
      <c r="B27" t="inlineStr">
        <is>
          <t>Filip Barbu</t>
        </is>
      </c>
      <c r="C27" t="inlineStr">
        <is>
          <t>HR</t>
        </is>
      </c>
      <c r="D27" t="n">
        <v>21</v>
      </c>
      <c r="E27" t="n">
        <v>0</v>
      </c>
      <c r="F27" t="n">
        <v>0</v>
      </c>
      <c r="G27" t="n">
        <v>1</v>
      </c>
      <c r="H27" s="11">
        <f>D27/22</f>
        <v/>
      </c>
    </row>
    <row r="28">
      <c r="A28" s="9" t="inlineStr">
        <is>
          <t>2026-03</t>
        </is>
      </c>
      <c r="B28" s="9" t="inlineStr">
        <is>
          <t>Georgiana Mara</t>
        </is>
      </c>
      <c r="C28" s="9" t="inlineStr">
        <is>
          <t>Finance</t>
        </is>
      </c>
      <c r="D28" s="9" t="n">
        <v>15</v>
      </c>
      <c r="E28" s="9" t="n">
        <v>3</v>
      </c>
      <c r="F28" s="9" t="n">
        <v>3</v>
      </c>
      <c r="G28" s="9" t="n">
        <v>1</v>
      </c>
      <c r="H28" s="10">
        <f>D28/22</f>
        <v/>
      </c>
    </row>
    <row r="29">
      <c r="A29" t="inlineStr">
        <is>
          <t>2026-03</t>
        </is>
      </c>
      <c r="B29" t="inlineStr">
        <is>
          <t>Horia Lazarescu</t>
        </is>
      </c>
      <c r="C29" t="inlineStr">
        <is>
          <t>Finance</t>
        </is>
      </c>
      <c r="D29" t="n">
        <v>20</v>
      </c>
      <c r="E29" t="n">
        <v>1</v>
      </c>
      <c r="F29" t="n">
        <v>0</v>
      </c>
      <c r="G29" t="n">
        <v>1</v>
      </c>
      <c r="H29" s="11">
        <f>D29/22</f>
        <v/>
      </c>
    </row>
    <row r="30">
      <c r="A30" s="9" t="inlineStr">
        <is>
          <t>2026-03</t>
        </is>
      </c>
      <c r="B30" s="9" t="inlineStr">
        <is>
          <t>Ingrid Marinescu</t>
        </is>
      </c>
      <c r="C30" s="9" t="inlineStr">
        <is>
          <t>IT</t>
        </is>
      </c>
      <c r="D30" s="9" t="n">
        <v>17</v>
      </c>
      <c r="E30" s="9" t="n">
        <v>2</v>
      </c>
      <c r="F30" s="9" t="n">
        <v>3</v>
      </c>
      <c r="G30" s="9" t="n">
        <v>0</v>
      </c>
      <c r="H30" s="10">
        <f>D30/22</f>
        <v/>
      </c>
    </row>
    <row r="31">
      <c r="A31" t="inlineStr">
        <is>
          <t>2026-03</t>
        </is>
      </c>
      <c r="B31" t="inlineStr">
        <is>
          <t>Julian Petrescu</t>
        </is>
      </c>
      <c r="C31" t="inlineStr">
        <is>
          <t>IT</t>
        </is>
      </c>
      <c r="D31" t="n">
        <v>16</v>
      </c>
      <c r="E31" t="n">
        <v>3</v>
      </c>
      <c r="F31" t="n">
        <v>1</v>
      </c>
      <c r="G31" t="n">
        <v>2</v>
      </c>
      <c r="H31" s="11">
        <f>D31/22</f>
        <v/>
      </c>
    </row>
    <row r="32">
      <c r="A32" s="9" t="inlineStr">
        <is>
          <t>2026-04</t>
        </is>
      </c>
      <c r="B32" s="9" t="inlineStr">
        <is>
          <t>Ana Marinescu</t>
        </is>
      </c>
      <c r="C32" s="9" t="inlineStr">
        <is>
          <t>Sales</t>
        </is>
      </c>
      <c r="D32" s="9" t="n">
        <v>17</v>
      </c>
      <c r="E32" s="9" t="n">
        <v>0</v>
      </c>
      <c r="F32" s="9" t="n">
        <v>3</v>
      </c>
      <c r="G32" s="9" t="n">
        <v>2</v>
      </c>
      <c r="H32" s="10">
        <f>D32/22</f>
        <v/>
      </c>
    </row>
    <row r="33">
      <c r="A33" t="inlineStr">
        <is>
          <t>2026-04</t>
        </is>
      </c>
      <c r="B33" t="inlineStr">
        <is>
          <t>Bogdan Radu</t>
        </is>
      </c>
      <c r="C33" t="inlineStr">
        <is>
          <t>Sales</t>
        </is>
      </c>
      <c r="D33" t="n">
        <v>16</v>
      </c>
      <c r="E33" t="n">
        <v>4</v>
      </c>
      <c r="F33" t="n">
        <v>0</v>
      </c>
      <c r="G33" t="n">
        <v>2</v>
      </c>
      <c r="H33" s="11">
        <f>D33/22</f>
        <v/>
      </c>
    </row>
    <row r="34">
      <c r="A34" s="9" t="inlineStr">
        <is>
          <t>2026-04</t>
        </is>
      </c>
      <c r="B34" s="9" t="inlineStr">
        <is>
          <t>Carmen Popa</t>
        </is>
      </c>
      <c r="C34" s="9" t="inlineStr">
        <is>
          <t>Operations</t>
        </is>
      </c>
      <c r="D34" s="9" t="n">
        <v>15</v>
      </c>
      <c r="E34" s="9" t="n">
        <v>3</v>
      </c>
      <c r="F34" s="9" t="n">
        <v>2</v>
      </c>
      <c r="G34" s="9" t="n">
        <v>2</v>
      </c>
      <c r="H34" s="10">
        <f>D34/22</f>
        <v/>
      </c>
    </row>
    <row r="35">
      <c r="A35" t="inlineStr">
        <is>
          <t>2026-04</t>
        </is>
      </c>
      <c r="B35" t="inlineStr">
        <is>
          <t>David Stan</t>
        </is>
      </c>
      <c r="C35" t="inlineStr">
        <is>
          <t>Operations</t>
        </is>
      </c>
      <c r="D35" t="n">
        <v>14</v>
      </c>
      <c r="E35" t="n">
        <v>4</v>
      </c>
      <c r="F35" t="n">
        <v>3</v>
      </c>
      <c r="G35" t="n">
        <v>1</v>
      </c>
      <c r="H35" s="11">
        <f>D35/22</f>
        <v/>
      </c>
    </row>
    <row r="36">
      <c r="A36" s="9" t="inlineStr">
        <is>
          <t>2026-04</t>
        </is>
      </c>
      <c r="B36" s="9" t="inlineStr">
        <is>
          <t>Elena Vasile</t>
        </is>
      </c>
      <c r="C36" s="9" t="inlineStr">
        <is>
          <t>HR</t>
        </is>
      </c>
      <c r="D36" s="9" t="n">
        <v>16</v>
      </c>
      <c r="E36" s="9" t="n">
        <v>3</v>
      </c>
      <c r="F36" s="9" t="n">
        <v>2</v>
      </c>
      <c r="G36" s="9" t="n">
        <v>1</v>
      </c>
      <c r="H36" s="10">
        <f>D36/22</f>
        <v/>
      </c>
    </row>
    <row r="37">
      <c r="A37" t="inlineStr">
        <is>
          <t>2026-04</t>
        </is>
      </c>
      <c r="B37" t="inlineStr">
        <is>
          <t>Filip Barbu</t>
        </is>
      </c>
      <c r="C37" t="inlineStr">
        <is>
          <t>HR</t>
        </is>
      </c>
      <c r="D37" t="n">
        <v>14</v>
      </c>
      <c r="E37" t="n">
        <v>3</v>
      </c>
      <c r="F37" t="n">
        <v>3</v>
      </c>
      <c r="G37" t="n">
        <v>2</v>
      </c>
      <c r="H37" s="11">
        <f>D37/22</f>
        <v/>
      </c>
    </row>
    <row r="38">
      <c r="A38" s="9" t="inlineStr">
        <is>
          <t>2026-04</t>
        </is>
      </c>
      <c r="B38" s="9" t="inlineStr">
        <is>
          <t>Georgiana Mara</t>
        </is>
      </c>
      <c r="C38" s="9" t="inlineStr">
        <is>
          <t>Finance</t>
        </is>
      </c>
      <c r="D38" s="9" t="n">
        <v>17</v>
      </c>
      <c r="E38" s="9" t="n">
        <v>2</v>
      </c>
      <c r="F38" s="9" t="n">
        <v>3</v>
      </c>
      <c r="G38" s="9" t="n">
        <v>0</v>
      </c>
      <c r="H38" s="10">
        <f>D38/22</f>
        <v/>
      </c>
    </row>
    <row r="39">
      <c r="A39" t="inlineStr">
        <is>
          <t>2026-04</t>
        </is>
      </c>
      <c r="B39" t="inlineStr">
        <is>
          <t>Horia Lazarescu</t>
        </is>
      </c>
      <c r="C39" t="inlineStr">
        <is>
          <t>Finance</t>
        </is>
      </c>
      <c r="D39" t="n">
        <v>20</v>
      </c>
      <c r="E39" t="n">
        <v>0</v>
      </c>
      <c r="F39" t="n">
        <v>1</v>
      </c>
      <c r="G39" t="n">
        <v>1</v>
      </c>
      <c r="H39" s="11">
        <f>D39/22</f>
        <v/>
      </c>
    </row>
    <row r="40">
      <c r="A40" s="9" t="inlineStr">
        <is>
          <t>2026-04</t>
        </is>
      </c>
      <c r="B40" s="9" t="inlineStr">
        <is>
          <t>Ingrid Marinescu</t>
        </is>
      </c>
      <c r="C40" s="9" t="inlineStr">
        <is>
          <t>IT</t>
        </is>
      </c>
      <c r="D40" s="9" t="n">
        <v>16</v>
      </c>
      <c r="E40" s="9" t="n">
        <v>4</v>
      </c>
      <c r="F40" s="9" t="n">
        <v>2</v>
      </c>
      <c r="G40" s="9" t="n">
        <v>0</v>
      </c>
      <c r="H40" s="10">
        <f>D40/22</f>
        <v/>
      </c>
    </row>
    <row r="41">
      <c r="A41" t="inlineStr">
        <is>
          <t>2026-04</t>
        </is>
      </c>
      <c r="B41" t="inlineStr">
        <is>
          <t>Julian Petrescu</t>
        </is>
      </c>
      <c r="C41" t="inlineStr">
        <is>
          <t>IT</t>
        </is>
      </c>
      <c r="D41" t="n">
        <v>18</v>
      </c>
      <c r="E41" t="n">
        <v>2</v>
      </c>
      <c r="F41" t="n">
        <v>1</v>
      </c>
      <c r="G41" t="n">
        <v>1</v>
      </c>
      <c r="H41" s="11">
        <f>D41/22</f>
        <v/>
      </c>
    </row>
    <row r="42">
      <c r="A42" s="9" t="inlineStr">
        <is>
          <t>2026-05</t>
        </is>
      </c>
      <c r="B42" s="9" t="inlineStr">
        <is>
          <t>Ana Marinescu</t>
        </is>
      </c>
      <c r="C42" s="9" t="inlineStr">
        <is>
          <t>Sales</t>
        </is>
      </c>
      <c r="D42" s="9" t="n">
        <v>16</v>
      </c>
      <c r="E42" s="9" t="n">
        <v>2</v>
      </c>
      <c r="F42" s="9" t="n">
        <v>3</v>
      </c>
      <c r="G42" s="9" t="n">
        <v>1</v>
      </c>
      <c r="H42" s="10">
        <f>D42/22</f>
        <v/>
      </c>
    </row>
    <row r="43">
      <c r="A43" t="inlineStr">
        <is>
          <t>2026-05</t>
        </is>
      </c>
      <c r="B43" t="inlineStr">
        <is>
          <t>Bogdan Radu</t>
        </is>
      </c>
      <c r="C43" t="inlineStr">
        <is>
          <t>Sales</t>
        </is>
      </c>
      <c r="D43" t="n">
        <v>14</v>
      </c>
      <c r="E43" t="n">
        <v>4</v>
      </c>
      <c r="F43" t="n">
        <v>2</v>
      </c>
      <c r="G43" t="n">
        <v>2</v>
      </c>
      <c r="H43" s="11">
        <f>D43/22</f>
        <v/>
      </c>
    </row>
    <row r="44">
      <c r="A44" s="9" t="inlineStr">
        <is>
          <t>2026-05</t>
        </is>
      </c>
      <c r="B44" s="9" t="inlineStr">
        <is>
          <t>Carmen Popa</t>
        </is>
      </c>
      <c r="C44" s="9" t="inlineStr">
        <is>
          <t>Operations</t>
        </is>
      </c>
      <c r="D44" s="9" t="n">
        <v>20</v>
      </c>
      <c r="E44" s="9" t="n">
        <v>0</v>
      </c>
      <c r="F44" s="9" t="n">
        <v>0</v>
      </c>
      <c r="G44" s="9" t="n">
        <v>2</v>
      </c>
      <c r="H44" s="10">
        <f>D44/22</f>
        <v/>
      </c>
    </row>
    <row r="45">
      <c r="A45" t="inlineStr">
        <is>
          <t>2026-05</t>
        </is>
      </c>
      <c r="B45" t="inlineStr">
        <is>
          <t>David Stan</t>
        </is>
      </c>
      <c r="C45" t="inlineStr">
        <is>
          <t>Operations</t>
        </is>
      </c>
      <c r="D45" t="n">
        <v>19</v>
      </c>
      <c r="E45" t="n">
        <v>0</v>
      </c>
      <c r="F45" t="n">
        <v>3</v>
      </c>
      <c r="G45" t="n">
        <v>0</v>
      </c>
      <c r="H45" s="11">
        <f>D45/22</f>
        <v/>
      </c>
    </row>
    <row r="46">
      <c r="A46" s="9" t="inlineStr">
        <is>
          <t>2026-05</t>
        </is>
      </c>
      <c r="B46" s="9" t="inlineStr">
        <is>
          <t>Elena Vasile</t>
        </is>
      </c>
      <c r="C46" s="9" t="inlineStr">
        <is>
          <t>HR</t>
        </is>
      </c>
      <c r="D46" s="9" t="n">
        <v>17</v>
      </c>
      <c r="E46" s="9" t="n">
        <v>4</v>
      </c>
      <c r="F46" s="9" t="n">
        <v>0</v>
      </c>
      <c r="G46" s="9" t="n">
        <v>1</v>
      </c>
      <c r="H46" s="10">
        <f>D46/22</f>
        <v/>
      </c>
    </row>
    <row r="47">
      <c r="A47" t="inlineStr">
        <is>
          <t>2026-05</t>
        </is>
      </c>
      <c r="B47" t="inlineStr">
        <is>
          <t>Filip Barbu</t>
        </is>
      </c>
      <c r="C47" t="inlineStr">
        <is>
          <t>HR</t>
        </is>
      </c>
      <c r="D47" t="n">
        <v>20</v>
      </c>
      <c r="E47" t="n">
        <v>1</v>
      </c>
      <c r="F47" t="n">
        <v>1</v>
      </c>
      <c r="G47" t="n">
        <v>0</v>
      </c>
      <c r="H47" s="11">
        <f>D47/22</f>
        <v/>
      </c>
    </row>
    <row r="48">
      <c r="A48" s="9" t="inlineStr">
        <is>
          <t>2026-05</t>
        </is>
      </c>
      <c r="B48" s="9" t="inlineStr">
        <is>
          <t>Georgiana Mara</t>
        </is>
      </c>
      <c r="C48" s="9" t="inlineStr">
        <is>
          <t>Finance</t>
        </is>
      </c>
      <c r="D48" s="9" t="n">
        <v>22</v>
      </c>
      <c r="E48" s="9" t="n">
        <v>0</v>
      </c>
      <c r="F48" s="9" t="n">
        <v>0</v>
      </c>
      <c r="G48" s="9" t="n">
        <v>0</v>
      </c>
      <c r="H48" s="10">
        <f>D48/22</f>
        <v/>
      </c>
    </row>
    <row r="49">
      <c r="A49" t="inlineStr">
        <is>
          <t>2026-05</t>
        </is>
      </c>
      <c r="B49" t="inlineStr">
        <is>
          <t>Horia Lazarescu</t>
        </is>
      </c>
      <c r="C49" t="inlineStr">
        <is>
          <t>Finance</t>
        </is>
      </c>
      <c r="D49" t="n">
        <v>16</v>
      </c>
      <c r="E49" t="n">
        <v>4</v>
      </c>
      <c r="F49" t="n">
        <v>0</v>
      </c>
      <c r="G49" t="n">
        <v>2</v>
      </c>
      <c r="H49" s="11">
        <f>D49/22</f>
        <v/>
      </c>
    </row>
    <row r="50">
      <c r="A50" s="9" t="inlineStr">
        <is>
          <t>2026-05</t>
        </is>
      </c>
      <c r="B50" s="9" t="inlineStr">
        <is>
          <t>Ingrid Marinescu</t>
        </is>
      </c>
      <c r="C50" s="9" t="inlineStr">
        <is>
          <t>IT</t>
        </is>
      </c>
      <c r="D50" s="9" t="n">
        <v>19</v>
      </c>
      <c r="E50" s="9" t="n">
        <v>0</v>
      </c>
      <c r="F50" s="9" t="n">
        <v>2</v>
      </c>
      <c r="G50" s="9" t="n">
        <v>1</v>
      </c>
      <c r="H50" s="10">
        <f>D50/22</f>
        <v/>
      </c>
    </row>
    <row r="51">
      <c r="A51" t="inlineStr">
        <is>
          <t>2026-05</t>
        </is>
      </c>
      <c r="B51" t="inlineStr">
        <is>
          <t>Julian Petrescu</t>
        </is>
      </c>
      <c r="C51" t="inlineStr">
        <is>
          <t>IT</t>
        </is>
      </c>
      <c r="D51" t="n">
        <v>19</v>
      </c>
      <c r="E51" t="n">
        <v>0</v>
      </c>
      <c r="F51" t="n">
        <v>3</v>
      </c>
      <c r="G51" t="n">
        <v>0</v>
      </c>
      <c r="H51" s="11">
        <f>D51/22</f>
        <v/>
      </c>
    </row>
    <row r="52">
      <c r="A52" s="9" t="inlineStr">
        <is>
          <t>2026-06</t>
        </is>
      </c>
      <c r="B52" s="9" t="inlineStr">
        <is>
          <t>Ana Marinescu</t>
        </is>
      </c>
      <c r="C52" s="9" t="inlineStr">
        <is>
          <t>Sales</t>
        </is>
      </c>
      <c r="D52" s="9" t="n">
        <v>18</v>
      </c>
      <c r="E52" s="9" t="n">
        <v>3</v>
      </c>
      <c r="F52" s="9" t="n">
        <v>1</v>
      </c>
      <c r="G52" s="9" t="n">
        <v>0</v>
      </c>
      <c r="H52" s="10">
        <f>D52/22</f>
        <v/>
      </c>
    </row>
    <row r="53">
      <c r="A53" t="inlineStr">
        <is>
          <t>2026-06</t>
        </is>
      </c>
      <c r="B53" t="inlineStr">
        <is>
          <t>Bogdan Radu</t>
        </is>
      </c>
      <c r="C53" t="inlineStr">
        <is>
          <t>Sales</t>
        </is>
      </c>
      <c r="D53" t="n">
        <v>18</v>
      </c>
      <c r="E53" t="n">
        <v>4</v>
      </c>
      <c r="F53" t="n">
        <v>0</v>
      </c>
      <c r="G53" t="n">
        <v>0</v>
      </c>
      <c r="H53" s="11">
        <f>D53/22</f>
        <v/>
      </c>
    </row>
    <row r="54">
      <c r="A54" s="9" t="inlineStr">
        <is>
          <t>2026-06</t>
        </is>
      </c>
      <c r="B54" s="9" t="inlineStr">
        <is>
          <t>Carmen Popa</t>
        </is>
      </c>
      <c r="C54" s="9" t="inlineStr">
        <is>
          <t>Operations</t>
        </is>
      </c>
      <c r="D54" s="9" t="n">
        <v>21</v>
      </c>
      <c r="E54" s="9" t="n">
        <v>0</v>
      </c>
      <c r="F54" s="9" t="n">
        <v>1</v>
      </c>
      <c r="G54" s="9" t="n">
        <v>0</v>
      </c>
      <c r="H54" s="10">
        <f>D54/22</f>
        <v/>
      </c>
    </row>
    <row r="55">
      <c r="A55" t="inlineStr">
        <is>
          <t>2026-06</t>
        </is>
      </c>
      <c r="B55" t="inlineStr">
        <is>
          <t>David Stan</t>
        </is>
      </c>
      <c r="C55" t="inlineStr">
        <is>
          <t>Operations</t>
        </is>
      </c>
      <c r="D55" t="n">
        <v>19</v>
      </c>
      <c r="E55" t="n">
        <v>0</v>
      </c>
      <c r="F55" t="n">
        <v>2</v>
      </c>
      <c r="G55" t="n">
        <v>1</v>
      </c>
      <c r="H55" s="11">
        <f>D55/22</f>
        <v/>
      </c>
    </row>
    <row r="56">
      <c r="A56" s="9" t="inlineStr">
        <is>
          <t>2026-06</t>
        </is>
      </c>
      <c r="B56" s="9" t="inlineStr">
        <is>
          <t>Elena Vasile</t>
        </is>
      </c>
      <c r="C56" s="9" t="inlineStr">
        <is>
          <t>HR</t>
        </is>
      </c>
      <c r="D56" s="9" t="n">
        <v>15</v>
      </c>
      <c r="E56" s="9" t="n">
        <v>2</v>
      </c>
      <c r="F56" s="9" t="n">
        <v>3</v>
      </c>
      <c r="G56" s="9" t="n">
        <v>2</v>
      </c>
      <c r="H56" s="10">
        <f>D56/22</f>
        <v/>
      </c>
    </row>
    <row r="57">
      <c r="A57" t="inlineStr">
        <is>
          <t>2026-06</t>
        </is>
      </c>
      <c r="B57" t="inlineStr">
        <is>
          <t>Filip Barbu</t>
        </is>
      </c>
      <c r="C57" t="inlineStr">
        <is>
          <t>HR</t>
        </is>
      </c>
      <c r="D57" t="n">
        <v>22</v>
      </c>
      <c r="E57" t="n">
        <v>0</v>
      </c>
      <c r="F57" t="n">
        <v>0</v>
      </c>
      <c r="G57" t="n">
        <v>0</v>
      </c>
      <c r="H57" s="11">
        <f>D57/22</f>
        <v/>
      </c>
    </row>
    <row r="58">
      <c r="A58" s="9" t="inlineStr">
        <is>
          <t>2026-06</t>
        </is>
      </c>
      <c r="B58" s="9" t="inlineStr">
        <is>
          <t>Georgiana Mara</t>
        </is>
      </c>
      <c r="C58" s="9" t="inlineStr">
        <is>
          <t>Finance</t>
        </is>
      </c>
      <c r="D58" s="9" t="n">
        <v>15</v>
      </c>
      <c r="E58" s="9" t="n">
        <v>4</v>
      </c>
      <c r="F58" s="9" t="n">
        <v>2</v>
      </c>
      <c r="G58" s="9" t="n">
        <v>1</v>
      </c>
      <c r="H58" s="10">
        <f>D58/22</f>
        <v/>
      </c>
    </row>
    <row r="59">
      <c r="A59" t="inlineStr">
        <is>
          <t>2026-06</t>
        </is>
      </c>
      <c r="B59" t="inlineStr">
        <is>
          <t>Horia Lazarescu</t>
        </is>
      </c>
      <c r="C59" t="inlineStr">
        <is>
          <t>Finance</t>
        </is>
      </c>
      <c r="D59" t="n">
        <v>15</v>
      </c>
      <c r="E59" t="n">
        <v>4</v>
      </c>
      <c r="F59" t="n">
        <v>2</v>
      </c>
      <c r="G59" t="n">
        <v>1</v>
      </c>
      <c r="H59" s="11">
        <f>D59/22</f>
        <v/>
      </c>
    </row>
    <row r="60">
      <c r="A60" s="9" t="inlineStr">
        <is>
          <t>2026-06</t>
        </is>
      </c>
      <c r="B60" s="9" t="inlineStr">
        <is>
          <t>Ingrid Marinescu</t>
        </is>
      </c>
      <c r="C60" s="9" t="inlineStr">
        <is>
          <t>IT</t>
        </is>
      </c>
      <c r="D60" s="9" t="n">
        <v>20</v>
      </c>
      <c r="E60" s="9" t="n">
        <v>0</v>
      </c>
      <c r="F60" s="9" t="n">
        <v>2</v>
      </c>
      <c r="G60" s="9" t="n">
        <v>0</v>
      </c>
      <c r="H60" s="10">
        <f>D60/22</f>
        <v/>
      </c>
    </row>
    <row r="61">
      <c r="A61" t="inlineStr">
        <is>
          <t>2026-06</t>
        </is>
      </c>
      <c r="B61" t="inlineStr">
        <is>
          <t>Julian Petrescu</t>
        </is>
      </c>
      <c r="C61" t="inlineStr">
        <is>
          <t>IT</t>
        </is>
      </c>
      <c r="D61" t="n">
        <v>15</v>
      </c>
      <c r="E61" t="n">
        <v>3</v>
      </c>
      <c r="F61" t="n">
        <v>3</v>
      </c>
      <c r="G61" t="n">
        <v>1</v>
      </c>
      <c r="H61" s="11">
        <f>D61/22</f>
        <v/>
      </c>
    </row>
    <row r="62">
      <c r="A62" s="9" t="inlineStr">
        <is>
          <t>2026-07</t>
        </is>
      </c>
      <c r="B62" s="9" t="inlineStr">
        <is>
          <t>Ana Marinescu</t>
        </is>
      </c>
      <c r="C62" s="9" t="inlineStr">
        <is>
          <t>Sales</t>
        </is>
      </c>
      <c r="D62" s="9" t="n">
        <v>18</v>
      </c>
      <c r="E62" s="9" t="n">
        <v>1</v>
      </c>
      <c r="F62" s="9" t="n">
        <v>2</v>
      </c>
      <c r="G62" s="9" t="n">
        <v>1</v>
      </c>
      <c r="H62" s="10">
        <f>D62/22</f>
        <v/>
      </c>
    </row>
    <row r="63">
      <c r="A63" t="inlineStr">
        <is>
          <t>2026-07</t>
        </is>
      </c>
      <c r="B63" t="inlineStr">
        <is>
          <t>Bogdan Radu</t>
        </is>
      </c>
      <c r="C63" t="inlineStr">
        <is>
          <t>Sales</t>
        </is>
      </c>
      <c r="D63" t="n">
        <v>20</v>
      </c>
      <c r="E63" t="n">
        <v>1</v>
      </c>
      <c r="F63" t="n">
        <v>1</v>
      </c>
      <c r="G63" t="n">
        <v>0</v>
      </c>
      <c r="H63" s="11">
        <f>D63/22</f>
        <v/>
      </c>
    </row>
    <row r="64">
      <c r="A64" s="9" t="inlineStr">
        <is>
          <t>2026-07</t>
        </is>
      </c>
      <c r="B64" s="9" t="inlineStr">
        <is>
          <t>Carmen Popa</t>
        </is>
      </c>
      <c r="C64" s="9" t="inlineStr">
        <is>
          <t>Operations</t>
        </is>
      </c>
      <c r="D64" s="9" t="n">
        <v>20</v>
      </c>
      <c r="E64" s="9" t="n">
        <v>1</v>
      </c>
      <c r="F64" s="9" t="n">
        <v>0</v>
      </c>
      <c r="G64" s="9" t="n">
        <v>1</v>
      </c>
      <c r="H64" s="10">
        <f>D64/22</f>
        <v/>
      </c>
    </row>
    <row r="65">
      <c r="A65" t="inlineStr">
        <is>
          <t>2026-07</t>
        </is>
      </c>
      <c r="B65" t="inlineStr">
        <is>
          <t>David Stan</t>
        </is>
      </c>
      <c r="C65" t="inlineStr">
        <is>
          <t>Operations</t>
        </is>
      </c>
      <c r="D65" t="n">
        <v>19</v>
      </c>
      <c r="E65" t="n">
        <v>1</v>
      </c>
      <c r="F65" t="n">
        <v>1</v>
      </c>
      <c r="G65" t="n">
        <v>1</v>
      </c>
      <c r="H65" s="11">
        <f>D65/22</f>
        <v/>
      </c>
    </row>
    <row r="66">
      <c r="A66" s="9" t="inlineStr">
        <is>
          <t>2026-07</t>
        </is>
      </c>
      <c r="B66" s="9" t="inlineStr">
        <is>
          <t>Elena Vasile</t>
        </is>
      </c>
      <c r="C66" s="9" t="inlineStr">
        <is>
          <t>HR</t>
        </is>
      </c>
      <c r="D66" s="9" t="n">
        <v>15</v>
      </c>
      <c r="E66" s="9" t="n">
        <v>3</v>
      </c>
      <c r="F66" s="9" t="n">
        <v>3</v>
      </c>
      <c r="G66" s="9" t="n">
        <v>1</v>
      </c>
      <c r="H66" s="10">
        <f>D66/22</f>
        <v/>
      </c>
    </row>
    <row r="67">
      <c r="A67" t="inlineStr">
        <is>
          <t>2026-07</t>
        </is>
      </c>
      <c r="B67" t="inlineStr">
        <is>
          <t>Filip Barbu</t>
        </is>
      </c>
      <c r="C67" t="inlineStr">
        <is>
          <t>HR</t>
        </is>
      </c>
      <c r="D67" t="n">
        <v>20</v>
      </c>
      <c r="E67" t="n">
        <v>0</v>
      </c>
      <c r="F67" t="n">
        <v>1</v>
      </c>
      <c r="G67" t="n">
        <v>1</v>
      </c>
      <c r="H67" s="11">
        <f>D67/22</f>
        <v/>
      </c>
    </row>
    <row r="68">
      <c r="A68" s="9" t="inlineStr">
        <is>
          <t>2026-07</t>
        </is>
      </c>
      <c r="B68" s="9" t="inlineStr">
        <is>
          <t>Georgiana Mara</t>
        </is>
      </c>
      <c r="C68" s="9" t="inlineStr">
        <is>
          <t>Finance</t>
        </is>
      </c>
      <c r="D68" s="9" t="n">
        <v>22</v>
      </c>
      <c r="E68" s="9" t="n">
        <v>0</v>
      </c>
      <c r="F68" s="9" t="n">
        <v>0</v>
      </c>
      <c r="G68" s="9" t="n">
        <v>0</v>
      </c>
      <c r="H68" s="10">
        <f>D68/22</f>
        <v/>
      </c>
    </row>
    <row r="69">
      <c r="A69" t="inlineStr">
        <is>
          <t>2026-07</t>
        </is>
      </c>
      <c r="B69" t="inlineStr">
        <is>
          <t>Horia Lazarescu</t>
        </is>
      </c>
      <c r="C69" t="inlineStr">
        <is>
          <t>Finance</t>
        </is>
      </c>
      <c r="D69" t="n">
        <v>19</v>
      </c>
      <c r="E69" t="n">
        <v>1</v>
      </c>
      <c r="F69" t="n">
        <v>2</v>
      </c>
      <c r="G69" t="n">
        <v>0</v>
      </c>
      <c r="H69" s="11">
        <f>D69/22</f>
        <v/>
      </c>
    </row>
    <row r="70">
      <c r="A70" s="9" t="inlineStr">
        <is>
          <t>2026-07</t>
        </is>
      </c>
      <c r="B70" s="9" t="inlineStr">
        <is>
          <t>Ingrid Marinescu</t>
        </is>
      </c>
      <c r="C70" s="9" t="inlineStr">
        <is>
          <t>IT</t>
        </is>
      </c>
      <c r="D70" s="9" t="n">
        <v>18</v>
      </c>
      <c r="E70" s="9" t="n">
        <v>1</v>
      </c>
      <c r="F70" s="9" t="n">
        <v>2</v>
      </c>
      <c r="G70" s="9" t="n">
        <v>1</v>
      </c>
      <c r="H70" s="10">
        <f>D70/22</f>
        <v/>
      </c>
    </row>
    <row r="71">
      <c r="A71" t="inlineStr">
        <is>
          <t>2026-07</t>
        </is>
      </c>
      <c r="B71" t="inlineStr">
        <is>
          <t>Julian Petrescu</t>
        </is>
      </c>
      <c r="C71" t="inlineStr">
        <is>
          <t>IT</t>
        </is>
      </c>
      <c r="D71" t="n">
        <v>18</v>
      </c>
      <c r="E71" t="n">
        <v>3</v>
      </c>
      <c r="F71" t="n">
        <v>0</v>
      </c>
      <c r="G71" t="n">
        <v>1</v>
      </c>
      <c r="H71" s="11">
        <f>D71/22</f>
        <v/>
      </c>
    </row>
    <row r="72">
      <c r="A72" s="9" t="inlineStr">
        <is>
          <t>2026-08</t>
        </is>
      </c>
      <c r="B72" s="9" t="inlineStr">
        <is>
          <t>Ana Marinescu</t>
        </is>
      </c>
      <c r="C72" s="9" t="inlineStr">
        <is>
          <t>Sales</t>
        </is>
      </c>
      <c r="D72" s="9" t="n">
        <v>14</v>
      </c>
      <c r="E72" s="9" t="n">
        <v>4</v>
      </c>
      <c r="F72" s="9" t="n">
        <v>3</v>
      </c>
      <c r="G72" s="9" t="n">
        <v>1</v>
      </c>
      <c r="H72" s="10">
        <f>D72/22</f>
        <v/>
      </c>
    </row>
    <row r="73">
      <c r="A73" t="inlineStr">
        <is>
          <t>2026-08</t>
        </is>
      </c>
      <c r="B73" t="inlineStr">
        <is>
          <t>Bogdan Radu</t>
        </is>
      </c>
      <c r="C73" t="inlineStr">
        <is>
          <t>Sales</t>
        </is>
      </c>
      <c r="D73" t="n">
        <v>18</v>
      </c>
      <c r="E73" t="n">
        <v>1</v>
      </c>
      <c r="F73" t="n">
        <v>2</v>
      </c>
      <c r="G73" t="n">
        <v>1</v>
      </c>
      <c r="H73" s="11">
        <f>D73/22</f>
        <v/>
      </c>
    </row>
    <row r="74">
      <c r="A74" s="9" t="inlineStr">
        <is>
          <t>2026-08</t>
        </is>
      </c>
      <c r="B74" s="9" t="inlineStr">
        <is>
          <t>Carmen Popa</t>
        </is>
      </c>
      <c r="C74" s="9" t="inlineStr">
        <is>
          <t>Operations</t>
        </is>
      </c>
      <c r="D74" s="9" t="n">
        <v>19</v>
      </c>
      <c r="E74" s="9" t="n">
        <v>1</v>
      </c>
      <c r="F74" s="9" t="n">
        <v>2</v>
      </c>
      <c r="G74" s="9" t="n">
        <v>0</v>
      </c>
      <c r="H74" s="10">
        <f>D74/22</f>
        <v/>
      </c>
    </row>
    <row r="75">
      <c r="A75" t="inlineStr">
        <is>
          <t>2026-08</t>
        </is>
      </c>
      <c r="B75" t="inlineStr">
        <is>
          <t>David Stan</t>
        </is>
      </c>
      <c r="C75" t="inlineStr">
        <is>
          <t>Operations</t>
        </is>
      </c>
      <c r="D75" t="n">
        <v>19</v>
      </c>
      <c r="E75" t="n">
        <v>2</v>
      </c>
      <c r="F75" t="n">
        <v>0</v>
      </c>
      <c r="G75" t="n">
        <v>1</v>
      </c>
      <c r="H75" s="11">
        <f>D75/22</f>
        <v/>
      </c>
    </row>
    <row r="76">
      <c r="A76" s="9" t="inlineStr">
        <is>
          <t>2026-08</t>
        </is>
      </c>
      <c r="B76" s="9" t="inlineStr">
        <is>
          <t>Elena Vasile</t>
        </is>
      </c>
      <c r="C76" s="9" t="inlineStr">
        <is>
          <t>HR</t>
        </is>
      </c>
      <c r="D76" s="9" t="n">
        <v>21</v>
      </c>
      <c r="E76" s="9" t="n">
        <v>1</v>
      </c>
      <c r="F76" s="9" t="n">
        <v>0</v>
      </c>
      <c r="G76" s="9" t="n">
        <v>0</v>
      </c>
      <c r="H76" s="10">
        <f>D76/22</f>
        <v/>
      </c>
    </row>
    <row r="77">
      <c r="A77" t="inlineStr">
        <is>
          <t>2026-08</t>
        </is>
      </c>
      <c r="B77" t="inlineStr">
        <is>
          <t>Filip Barbu</t>
        </is>
      </c>
      <c r="C77" t="inlineStr">
        <is>
          <t>HR</t>
        </is>
      </c>
      <c r="D77" t="n">
        <v>15</v>
      </c>
      <c r="E77" t="n">
        <v>2</v>
      </c>
      <c r="F77" t="n">
        <v>3</v>
      </c>
      <c r="G77" t="n">
        <v>2</v>
      </c>
      <c r="H77" s="11">
        <f>D77/22</f>
        <v/>
      </c>
    </row>
    <row r="78">
      <c r="A78" s="9" t="inlineStr">
        <is>
          <t>2026-08</t>
        </is>
      </c>
      <c r="B78" s="9" t="inlineStr">
        <is>
          <t>Georgiana Mara</t>
        </is>
      </c>
      <c r="C78" s="9" t="inlineStr">
        <is>
          <t>Finance</t>
        </is>
      </c>
      <c r="D78" s="9" t="n">
        <v>19</v>
      </c>
      <c r="E78" s="9" t="n">
        <v>0</v>
      </c>
      <c r="F78" s="9" t="n">
        <v>3</v>
      </c>
      <c r="G78" s="9" t="n">
        <v>0</v>
      </c>
      <c r="H78" s="10">
        <f>D78/22</f>
        <v/>
      </c>
    </row>
    <row r="79">
      <c r="A79" t="inlineStr">
        <is>
          <t>2026-08</t>
        </is>
      </c>
      <c r="B79" t="inlineStr">
        <is>
          <t>Horia Lazarescu</t>
        </is>
      </c>
      <c r="C79" t="inlineStr">
        <is>
          <t>Finance</t>
        </is>
      </c>
      <c r="D79" t="n">
        <v>17</v>
      </c>
      <c r="E79" t="n">
        <v>4</v>
      </c>
      <c r="F79" t="n">
        <v>1</v>
      </c>
      <c r="G79" t="n">
        <v>0</v>
      </c>
      <c r="H79" s="11">
        <f>D79/22</f>
        <v/>
      </c>
    </row>
    <row r="80">
      <c r="A80" s="9" t="inlineStr">
        <is>
          <t>2026-08</t>
        </is>
      </c>
      <c r="B80" s="9" t="inlineStr">
        <is>
          <t>Ingrid Marinescu</t>
        </is>
      </c>
      <c r="C80" s="9" t="inlineStr">
        <is>
          <t>IT</t>
        </is>
      </c>
      <c r="D80" s="9" t="n">
        <v>15</v>
      </c>
      <c r="E80" s="9" t="n">
        <v>4</v>
      </c>
      <c r="F80" s="9" t="n">
        <v>3</v>
      </c>
      <c r="G80" s="9" t="n">
        <v>0</v>
      </c>
      <c r="H80" s="10">
        <f>D80/22</f>
        <v/>
      </c>
    </row>
    <row r="81">
      <c r="A81" t="inlineStr">
        <is>
          <t>2026-08</t>
        </is>
      </c>
      <c r="B81" t="inlineStr">
        <is>
          <t>Julian Petrescu</t>
        </is>
      </c>
      <c r="C81" t="inlineStr">
        <is>
          <t>IT</t>
        </is>
      </c>
      <c r="D81" t="n">
        <v>18</v>
      </c>
      <c r="E81" t="n">
        <v>1</v>
      </c>
      <c r="F81" t="n">
        <v>3</v>
      </c>
      <c r="G81" t="n">
        <v>0</v>
      </c>
      <c r="H81" s="11">
        <f>D81/22</f>
        <v/>
      </c>
    </row>
    <row r="82">
      <c r="A82" s="9" t="inlineStr">
        <is>
          <t>2026-09</t>
        </is>
      </c>
      <c r="B82" s="9" t="inlineStr">
        <is>
          <t>Ana Marinescu</t>
        </is>
      </c>
      <c r="C82" s="9" t="inlineStr">
        <is>
          <t>Sales</t>
        </is>
      </c>
      <c r="D82" s="9" t="n">
        <v>17</v>
      </c>
      <c r="E82" s="9" t="n">
        <v>2</v>
      </c>
      <c r="F82" s="9" t="n">
        <v>3</v>
      </c>
      <c r="G82" s="9" t="n">
        <v>0</v>
      </c>
      <c r="H82" s="10">
        <f>D82/22</f>
        <v/>
      </c>
    </row>
    <row r="83">
      <c r="A83" t="inlineStr">
        <is>
          <t>2026-09</t>
        </is>
      </c>
      <c r="B83" t="inlineStr">
        <is>
          <t>Bogdan Radu</t>
        </is>
      </c>
      <c r="C83" t="inlineStr">
        <is>
          <t>Sales</t>
        </is>
      </c>
      <c r="D83" t="n">
        <v>16</v>
      </c>
      <c r="E83" t="n">
        <v>2</v>
      </c>
      <c r="F83" t="n">
        <v>3</v>
      </c>
      <c r="G83" t="n">
        <v>1</v>
      </c>
      <c r="H83" s="11">
        <f>D83/22</f>
        <v/>
      </c>
    </row>
    <row r="84">
      <c r="A84" s="9" t="inlineStr">
        <is>
          <t>2026-09</t>
        </is>
      </c>
      <c r="B84" s="9" t="inlineStr">
        <is>
          <t>Carmen Popa</t>
        </is>
      </c>
      <c r="C84" s="9" t="inlineStr">
        <is>
          <t>Operations</t>
        </is>
      </c>
      <c r="D84" s="9" t="n">
        <v>16</v>
      </c>
      <c r="E84" s="9" t="n">
        <v>1</v>
      </c>
      <c r="F84" s="9" t="n">
        <v>3</v>
      </c>
      <c r="G84" s="9" t="n">
        <v>2</v>
      </c>
      <c r="H84" s="10">
        <f>D84/22</f>
        <v/>
      </c>
    </row>
    <row r="85">
      <c r="A85" t="inlineStr">
        <is>
          <t>2026-09</t>
        </is>
      </c>
      <c r="B85" t="inlineStr">
        <is>
          <t>David Stan</t>
        </is>
      </c>
      <c r="C85" t="inlineStr">
        <is>
          <t>Operations</t>
        </is>
      </c>
      <c r="D85" t="n">
        <v>14</v>
      </c>
      <c r="E85" t="n">
        <v>3</v>
      </c>
      <c r="F85" t="n">
        <v>3</v>
      </c>
      <c r="G85" t="n">
        <v>2</v>
      </c>
      <c r="H85" s="11">
        <f>D85/22</f>
        <v/>
      </c>
    </row>
    <row r="86">
      <c r="A86" s="9" t="inlineStr">
        <is>
          <t>2026-09</t>
        </is>
      </c>
      <c r="B86" s="9" t="inlineStr">
        <is>
          <t>Elena Vasile</t>
        </is>
      </c>
      <c r="C86" s="9" t="inlineStr">
        <is>
          <t>HR</t>
        </is>
      </c>
      <c r="D86" s="9" t="n">
        <v>18</v>
      </c>
      <c r="E86" s="9" t="n">
        <v>0</v>
      </c>
      <c r="F86" s="9" t="n">
        <v>3</v>
      </c>
      <c r="G86" s="9" t="n">
        <v>1</v>
      </c>
      <c r="H86" s="10">
        <f>D86/22</f>
        <v/>
      </c>
    </row>
    <row r="87">
      <c r="A87" t="inlineStr">
        <is>
          <t>2026-09</t>
        </is>
      </c>
      <c r="B87" t="inlineStr">
        <is>
          <t>Filip Barbu</t>
        </is>
      </c>
      <c r="C87" t="inlineStr">
        <is>
          <t>HR</t>
        </is>
      </c>
      <c r="D87" t="n">
        <v>17</v>
      </c>
      <c r="E87" t="n">
        <v>1</v>
      </c>
      <c r="F87" t="n">
        <v>3</v>
      </c>
      <c r="G87" t="n">
        <v>1</v>
      </c>
      <c r="H87" s="11">
        <f>D87/22</f>
        <v/>
      </c>
    </row>
    <row r="88">
      <c r="A88" s="9" t="inlineStr">
        <is>
          <t>2026-09</t>
        </is>
      </c>
      <c r="B88" s="9" t="inlineStr">
        <is>
          <t>Georgiana Mara</t>
        </is>
      </c>
      <c r="C88" s="9" t="inlineStr">
        <is>
          <t>Finance</t>
        </is>
      </c>
      <c r="D88" s="9" t="n">
        <v>20</v>
      </c>
      <c r="E88" s="9" t="n">
        <v>0</v>
      </c>
      <c r="F88" s="9" t="n">
        <v>1</v>
      </c>
      <c r="G88" s="9" t="n">
        <v>1</v>
      </c>
      <c r="H88" s="10">
        <f>D88/22</f>
        <v/>
      </c>
    </row>
    <row r="89">
      <c r="A89" t="inlineStr">
        <is>
          <t>2026-09</t>
        </is>
      </c>
      <c r="B89" t="inlineStr">
        <is>
          <t>Horia Lazarescu</t>
        </is>
      </c>
      <c r="C89" t="inlineStr">
        <is>
          <t>Finance</t>
        </is>
      </c>
      <c r="D89" t="n">
        <v>20</v>
      </c>
      <c r="E89" t="n">
        <v>1</v>
      </c>
      <c r="F89" t="n">
        <v>1</v>
      </c>
      <c r="G89" t="n">
        <v>0</v>
      </c>
      <c r="H89" s="11">
        <f>D89/22</f>
        <v/>
      </c>
    </row>
    <row r="90">
      <c r="A90" s="9" t="inlineStr">
        <is>
          <t>2026-09</t>
        </is>
      </c>
      <c r="B90" s="9" t="inlineStr">
        <is>
          <t>Ingrid Marinescu</t>
        </is>
      </c>
      <c r="C90" s="9" t="inlineStr">
        <is>
          <t>IT</t>
        </is>
      </c>
      <c r="D90" s="9" t="n">
        <v>16</v>
      </c>
      <c r="E90" s="9" t="n">
        <v>3</v>
      </c>
      <c r="F90" s="9" t="n">
        <v>2</v>
      </c>
      <c r="G90" s="9" t="n">
        <v>1</v>
      </c>
      <c r="H90" s="10">
        <f>D90/22</f>
        <v/>
      </c>
    </row>
    <row r="91">
      <c r="A91" t="inlineStr">
        <is>
          <t>2026-09</t>
        </is>
      </c>
      <c r="B91" t="inlineStr">
        <is>
          <t>Julian Petrescu</t>
        </is>
      </c>
      <c r="C91" t="inlineStr">
        <is>
          <t>IT</t>
        </is>
      </c>
      <c r="D91" t="n">
        <v>18</v>
      </c>
      <c r="E91" t="n">
        <v>1</v>
      </c>
      <c r="F91" t="n">
        <v>3</v>
      </c>
      <c r="G91" t="n">
        <v>0</v>
      </c>
      <c r="H91" s="11">
        <f>D91/22</f>
        <v/>
      </c>
    </row>
    <row r="92">
      <c r="A92" s="9" t="inlineStr">
        <is>
          <t>2026-10</t>
        </is>
      </c>
      <c r="B92" s="9" t="inlineStr">
        <is>
          <t>Ana Marinescu</t>
        </is>
      </c>
      <c r="C92" s="9" t="inlineStr">
        <is>
          <t>Sales</t>
        </is>
      </c>
      <c r="D92" s="9" t="n">
        <v>21</v>
      </c>
      <c r="E92" s="9" t="n">
        <v>1</v>
      </c>
      <c r="F92" s="9" t="n">
        <v>0</v>
      </c>
      <c r="G92" s="9" t="n">
        <v>0</v>
      </c>
      <c r="H92" s="10">
        <f>D92/22</f>
        <v/>
      </c>
    </row>
    <row r="93">
      <c r="A93" t="inlineStr">
        <is>
          <t>2026-10</t>
        </is>
      </c>
      <c r="B93" t="inlineStr">
        <is>
          <t>Bogdan Radu</t>
        </is>
      </c>
      <c r="C93" t="inlineStr">
        <is>
          <t>Sales</t>
        </is>
      </c>
      <c r="D93" t="n">
        <v>16</v>
      </c>
      <c r="E93" t="n">
        <v>1</v>
      </c>
      <c r="F93" t="n">
        <v>3</v>
      </c>
      <c r="G93" t="n">
        <v>2</v>
      </c>
      <c r="H93" s="11">
        <f>D93/22</f>
        <v/>
      </c>
    </row>
    <row r="94">
      <c r="A94" s="9" t="inlineStr">
        <is>
          <t>2026-10</t>
        </is>
      </c>
      <c r="B94" s="9" t="inlineStr">
        <is>
          <t>Carmen Popa</t>
        </is>
      </c>
      <c r="C94" s="9" t="inlineStr">
        <is>
          <t>Operations</t>
        </is>
      </c>
      <c r="D94" s="9" t="n">
        <v>17</v>
      </c>
      <c r="E94" s="9" t="n">
        <v>3</v>
      </c>
      <c r="F94" s="9" t="n">
        <v>0</v>
      </c>
      <c r="G94" s="9" t="n">
        <v>2</v>
      </c>
      <c r="H94" s="10">
        <f>D94/22</f>
        <v/>
      </c>
    </row>
    <row r="95">
      <c r="A95" t="inlineStr">
        <is>
          <t>2026-10</t>
        </is>
      </c>
      <c r="B95" t="inlineStr">
        <is>
          <t>David Stan</t>
        </is>
      </c>
      <c r="C95" t="inlineStr">
        <is>
          <t>Operations</t>
        </is>
      </c>
      <c r="D95" t="n">
        <v>16</v>
      </c>
      <c r="E95" t="n">
        <v>3</v>
      </c>
      <c r="F95" t="n">
        <v>3</v>
      </c>
      <c r="G95" t="n">
        <v>0</v>
      </c>
      <c r="H95" s="11">
        <f>D95/22</f>
        <v/>
      </c>
    </row>
    <row r="96">
      <c r="A96" s="9" t="inlineStr">
        <is>
          <t>2026-10</t>
        </is>
      </c>
      <c r="B96" s="9" t="inlineStr">
        <is>
          <t>Elena Vasile</t>
        </is>
      </c>
      <c r="C96" s="9" t="inlineStr">
        <is>
          <t>HR</t>
        </is>
      </c>
      <c r="D96" s="9" t="n">
        <v>19</v>
      </c>
      <c r="E96" s="9" t="n">
        <v>3</v>
      </c>
      <c r="F96" s="9" t="n">
        <v>0</v>
      </c>
      <c r="G96" s="9" t="n">
        <v>0</v>
      </c>
      <c r="H96" s="10">
        <f>D96/22</f>
        <v/>
      </c>
    </row>
    <row r="97">
      <c r="A97" t="inlineStr">
        <is>
          <t>2026-10</t>
        </is>
      </c>
      <c r="B97" t="inlineStr">
        <is>
          <t>Filip Barbu</t>
        </is>
      </c>
      <c r="C97" t="inlineStr">
        <is>
          <t>HR</t>
        </is>
      </c>
      <c r="D97" t="n">
        <v>16</v>
      </c>
      <c r="E97" t="n">
        <v>4</v>
      </c>
      <c r="F97" t="n">
        <v>1</v>
      </c>
      <c r="G97" t="n">
        <v>1</v>
      </c>
      <c r="H97" s="11">
        <f>D97/22</f>
        <v/>
      </c>
    </row>
    <row r="98">
      <c r="A98" s="9" t="inlineStr">
        <is>
          <t>2026-10</t>
        </is>
      </c>
      <c r="B98" s="9" t="inlineStr">
        <is>
          <t>Georgiana Mara</t>
        </is>
      </c>
      <c r="C98" s="9" t="inlineStr">
        <is>
          <t>Finance</t>
        </is>
      </c>
      <c r="D98" s="9" t="n">
        <v>16</v>
      </c>
      <c r="E98" s="9" t="n">
        <v>4</v>
      </c>
      <c r="F98" s="9" t="n">
        <v>1</v>
      </c>
      <c r="G98" s="9" t="n">
        <v>1</v>
      </c>
      <c r="H98" s="10">
        <f>D98/22</f>
        <v/>
      </c>
    </row>
    <row r="99">
      <c r="A99" t="inlineStr">
        <is>
          <t>2026-10</t>
        </is>
      </c>
      <c r="B99" t="inlineStr">
        <is>
          <t>Horia Lazarescu</t>
        </is>
      </c>
      <c r="C99" t="inlineStr">
        <is>
          <t>Finance</t>
        </is>
      </c>
      <c r="D99" t="n">
        <v>15</v>
      </c>
      <c r="E99" t="n">
        <v>2</v>
      </c>
      <c r="F99" t="n">
        <v>3</v>
      </c>
      <c r="G99" t="n">
        <v>2</v>
      </c>
      <c r="H99" s="11">
        <f>D99/22</f>
        <v/>
      </c>
    </row>
    <row r="100">
      <c r="A100" s="9" t="inlineStr">
        <is>
          <t>2026-10</t>
        </is>
      </c>
      <c r="B100" s="9" t="inlineStr">
        <is>
          <t>Ingrid Marinescu</t>
        </is>
      </c>
      <c r="C100" s="9" t="inlineStr">
        <is>
          <t>IT</t>
        </is>
      </c>
      <c r="D100" s="9" t="n">
        <v>16</v>
      </c>
      <c r="E100" s="9" t="n">
        <v>1</v>
      </c>
      <c r="F100" s="9" t="n">
        <v>3</v>
      </c>
      <c r="G100" s="9" t="n">
        <v>2</v>
      </c>
      <c r="H100" s="10">
        <f>D100/22</f>
        <v/>
      </c>
    </row>
    <row r="101">
      <c r="A101" t="inlineStr">
        <is>
          <t>2026-10</t>
        </is>
      </c>
      <c r="B101" t="inlineStr">
        <is>
          <t>Julian Petrescu</t>
        </is>
      </c>
      <c r="C101" t="inlineStr">
        <is>
          <t>IT</t>
        </is>
      </c>
      <c r="D101" t="n">
        <v>19</v>
      </c>
      <c r="E101" t="n">
        <v>0</v>
      </c>
      <c r="F101" t="n">
        <v>2</v>
      </c>
      <c r="G101" t="n">
        <v>1</v>
      </c>
      <c r="H101" s="11">
        <f>D101/22</f>
        <v/>
      </c>
    </row>
    <row r="102">
      <c r="A102" s="9" t="inlineStr">
        <is>
          <t>2026-11</t>
        </is>
      </c>
      <c r="B102" s="9" t="inlineStr">
        <is>
          <t>Ana Marinescu</t>
        </is>
      </c>
      <c r="C102" s="9" t="inlineStr">
        <is>
          <t>Sales</t>
        </is>
      </c>
      <c r="D102" s="9" t="n">
        <v>17</v>
      </c>
      <c r="E102" s="9" t="n">
        <v>3</v>
      </c>
      <c r="F102" s="9" t="n">
        <v>1</v>
      </c>
      <c r="G102" s="9" t="n">
        <v>1</v>
      </c>
      <c r="H102" s="10">
        <f>D102/22</f>
        <v/>
      </c>
    </row>
    <row r="103">
      <c r="A103" t="inlineStr">
        <is>
          <t>2026-11</t>
        </is>
      </c>
      <c r="B103" t="inlineStr">
        <is>
          <t>Bogdan Radu</t>
        </is>
      </c>
      <c r="C103" t="inlineStr">
        <is>
          <t>Sales</t>
        </is>
      </c>
      <c r="D103" t="n">
        <v>19</v>
      </c>
      <c r="E103" t="n">
        <v>2</v>
      </c>
      <c r="F103" t="n">
        <v>0</v>
      </c>
      <c r="G103" t="n">
        <v>1</v>
      </c>
      <c r="H103" s="11">
        <f>D103/22</f>
        <v/>
      </c>
    </row>
    <row r="104">
      <c r="A104" s="9" t="inlineStr">
        <is>
          <t>2026-11</t>
        </is>
      </c>
      <c r="B104" s="9" t="inlineStr">
        <is>
          <t>Carmen Popa</t>
        </is>
      </c>
      <c r="C104" s="9" t="inlineStr">
        <is>
          <t>Operations</t>
        </is>
      </c>
      <c r="D104" s="9" t="n">
        <v>18</v>
      </c>
      <c r="E104" s="9" t="n">
        <v>2</v>
      </c>
      <c r="F104" s="9" t="n">
        <v>1</v>
      </c>
      <c r="G104" s="9" t="n">
        <v>1</v>
      </c>
      <c r="H104" s="10">
        <f>D104/22</f>
        <v/>
      </c>
    </row>
    <row r="105">
      <c r="A105" t="inlineStr">
        <is>
          <t>2026-11</t>
        </is>
      </c>
      <c r="B105" t="inlineStr">
        <is>
          <t>David Stan</t>
        </is>
      </c>
      <c r="C105" t="inlineStr">
        <is>
          <t>Operations</t>
        </is>
      </c>
      <c r="D105" t="n">
        <v>20</v>
      </c>
      <c r="E105" t="n">
        <v>1</v>
      </c>
      <c r="F105" t="n">
        <v>0</v>
      </c>
      <c r="G105" t="n">
        <v>1</v>
      </c>
      <c r="H105" s="11">
        <f>D105/22</f>
        <v/>
      </c>
    </row>
    <row r="106">
      <c r="A106" s="9" t="inlineStr">
        <is>
          <t>2026-11</t>
        </is>
      </c>
      <c r="B106" s="9" t="inlineStr">
        <is>
          <t>Elena Vasile</t>
        </is>
      </c>
      <c r="C106" s="9" t="inlineStr">
        <is>
          <t>HR</t>
        </is>
      </c>
      <c r="D106" s="9" t="n">
        <v>14</v>
      </c>
      <c r="E106" s="9" t="n">
        <v>4</v>
      </c>
      <c r="F106" s="9" t="n">
        <v>3</v>
      </c>
      <c r="G106" s="9" t="n">
        <v>1</v>
      </c>
      <c r="H106" s="10">
        <f>D106/22</f>
        <v/>
      </c>
    </row>
    <row r="107">
      <c r="A107" t="inlineStr">
        <is>
          <t>2026-11</t>
        </is>
      </c>
      <c r="B107" t="inlineStr">
        <is>
          <t>Filip Barbu</t>
        </is>
      </c>
      <c r="C107" t="inlineStr">
        <is>
          <t>HR</t>
        </is>
      </c>
      <c r="D107" t="n">
        <v>19</v>
      </c>
      <c r="E107" t="n">
        <v>0</v>
      </c>
      <c r="F107" t="n">
        <v>2</v>
      </c>
      <c r="G107" t="n">
        <v>1</v>
      </c>
      <c r="H107" s="11">
        <f>D107/22</f>
        <v/>
      </c>
    </row>
    <row r="108">
      <c r="A108" s="9" t="inlineStr">
        <is>
          <t>2026-11</t>
        </is>
      </c>
      <c r="B108" s="9" t="inlineStr">
        <is>
          <t>Georgiana Mara</t>
        </is>
      </c>
      <c r="C108" s="9" t="inlineStr">
        <is>
          <t>Finance</t>
        </is>
      </c>
      <c r="D108" s="9" t="n">
        <v>19</v>
      </c>
      <c r="E108" s="9" t="n">
        <v>3</v>
      </c>
      <c r="F108" s="9" t="n">
        <v>0</v>
      </c>
      <c r="G108" s="9" t="n">
        <v>0</v>
      </c>
      <c r="H108" s="10">
        <f>D108/22</f>
        <v/>
      </c>
    </row>
    <row r="109">
      <c r="A109" t="inlineStr">
        <is>
          <t>2026-11</t>
        </is>
      </c>
      <c r="B109" t="inlineStr">
        <is>
          <t>Horia Lazarescu</t>
        </is>
      </c>
      <c r="C109" t="inlineStr">
        <is>
          <t>Finance</t>
        </is>
      </c>
      <c r="D109" t="n">
        <v>16</v>
      </c>
      <c r="E109" t="n">
        <v>4</v>
      </c>
      <c r="F109" t="n">
        <v>1</v>
      </c>
      <c r="G109" t="n">
        <v>1</v>
      </c>
      <c r="H109" s="11">
        <f>D109/22</f>
        <v/>
      </c>
    </row>
    <row r="110">
      <c r="A110" s="9" t="inlineStr">
        <is>
          <t>2026-11</t>
        </is>
      </c>
      <c r="B110" s="9" t="inlineStr">
        <is>
          <t>Ingrid Marinescu</t>
        </is>
      </c>
      <c r="C110" s="9" t="inlineStr">
        <is>
          <t>IT</t>
        </is>
      </c>
      <c r="D110" s="9" t="n">
        <v>14</v>
      </c>
      <c r="E110" s="9" t="n">
        <v>4</v>
      </c>
      <c r="F110" s="9" t="n">
        <v>2</v>
      </c>
      <c r="G110" s="9" t="n">
        <v>2</v>
      </c>
      <c r="H110" s="10">
        <f>D110/22</f>
        <v/>
      </c>
    </row>
    <row r="111">
      <c r="A111" t="inlineStr">
        <is>
          <t>2026-11</t>
        </is>
      </c>
      <c r="B111" t="inlineStr">
        <is>
          <t>Julian Petrescu</t>
        </is>
      </c>
      <c r="C111" t="inlineStr">
        <is>
          <t>IT</t>
        </is>
      </c>
      <c r="D111" t="n">
        <v>16</v>
      </c>
      <c r="E111" t="n">
        <v>2</v>
      </c>
      <c r="F111" t="n">
        <v>2</v>
      </c>
      <c r="G111" t="n">
        <v>2</v>
      </c>
      <c r="H111" s="11">
        <f>D111/22</f>
        <v/>
      </c>
    </row>
    <row r="112">
      <c r="A112" s="9" t="inlineStr">
        <is>
          <t>2026-12</t>
        </is>
      </c>
      <c r="B112" s="9" t="inlineStr">
        <is>
          <t>Ana Marinescu</t>
        </is>
      </c>
      <c r="C112" s="9" t="inlineStr">
        <is>
          <t>Sales</t>
        </is>
      </c>
      <c r="D112" s="9" t="n">
        <v>19</v>
      </c>
      <c r="E112" s="9" t="n">
        <v>2</v>
      </c>
      <c r="F112" s="9" t="n">
        <v>0</v>
      </c>
      <c r="G112" s="9" t="n">
        <v>1</v>
      </c>
      <c r="H112" s="10">
        <f>D112/22</f>
        <v/>
      </c>
    </row>
    <row r="113">
      <c r="A113" t="inlineStr">
        <is>
          <t>2026-12</t>
        </is>
      </c>
      <c r="B113" t="inlineStr">
        <is>
          <t>Bogdan Radu</t>
        </is>
      </c>
      <c r="C113" t="inlineStr">
        <is>
          <t>Sales</t>
        </is>
      </c>
      <c r="D113" t="n">
        <v>17</v>
      </c>
      <c r="E113" t="n">
        <v>4</v>
      </c>
      <c r="F113" t="n">
        <v>1</v>
      </c>
      <c r="G113" t="n">
        <v>0</v>
      </c>
      <c r="H113" s="11">
        <f>D113/22</f>
        <v/>
      </c>
    </row>
    <row r="114">
      <c r="A114" s="9" t="inlineStr">
        <is>
          <t>2026-12</t>
        </is>
      </c>
      <c r="B114" s="9" t="inlineStr">
        <is>
          <t>Carmen Popa</t>
        </is>
      </c>
      <c r="C114" s="9" t="inlineStr">
        <is>
          <t>Operations</t>
        </is>
      </c>
      <c r="D114" s="9" t="n">
        <v>20</v>
      </c>
      <c r="E114" s="9" t="n">
        <v>2</v>
      </c>
      <c r="F114" s="9" t="n">
        <v>0</v>
      </c>
      <c r="G114" s="9" t="n">
        <v>0</v>
      </c>
      <c r="H114" s="10">
        <f>D114/22</f>
        <v/>
      </c>
    </row>
    <row r="115">
      <c r="A115" t="inlineStr">
        <is>
          <t>2026-12</t>
        </is>
      </c>
      <c r="B115" t="inlineStr">
        <is>
          <t>David Stan</t>
        </is>
      </c>
      <c r="C115" t="inlineStr">
        <is>
          <t>Operations</t>
        </is>
      </c>
      <c r="D115" t="n">
        <v>15</v>
      </c>
      <c r="E115" t="n">
        <v>4</v>
      </c>
      <c r="F115" t="n">
        <v>3</v>
      </c>
      <c r="G115" t="n">
        <v>0</v>
      </c>
      <c r="H115" s="11">
        <f>D115/22</f>
        <v/>
      </c>
    </row>
    <row r="116">
      <c r="A116" s="9" t="inlineStr">
        <is>
          <t>2026-12</t>
        </is>
      </c>
      <c r="B116" s="9" t="inlineStr">
        <is>
          <t>Elena Vasile</t>
        </is>
      </c>
      <c r="C116" s="9" t="inlineStr">
        <is>
          <t>HR</t>
        </is>
      </c>
      <c r="D116" s="9" t="n">
        <v>19</v>
      </c>
      <c r="E116" s="9" t="n">
        <v>0</v>
      </c>
      <c r="F116" s="9" t="n">
        <v>2</v>
      </c>
      <c r="G116" s="9" t="n">
        <v>1</v>
      </c>
      <c r="H116" s="10">
        <f>D116/22</f>
        <v/>
      </c>
    </row>
    <row r="117">
      <c r="A117" t="inlineStr">
        <is>
          <t>2026-12</t>
        </is>
      </c>
      <c r="B117" t="inlineStr">
        <is>
          <t>Filip Barbu</t>
        </is>
      </c>
      <c r="C117" t="inlineStr">
        <is>
          <t>HR</t>
        </is>
      </c>
      <c r="D117" t="n">
        <v>17</v>
      </c>
      <c r="E117" t="n">
        <v>2</v>
      </c>
      <c r="F117" t="n">
        <v>2</v>
      </c>
      <c r="G117" t="n">
        <v>1</v>
      </c>
      <c r="H117" s="11">
        <f>D117/22</f>
        <v/>
      </c>
    </row>
    <row r="118">
      <c r="A118" s="9" t="inlineStr">
        <is>
          <t>2026-12</t>
        </is>
      </c>
      <c r="B118" s="9" t="inlineStr">
        <is>
          <t>Georgiana Mara</t>
        </is>
      </c>
      <c r="C118" s="9" t="inlineStr">
        <is>
          <t>Finance</t>
        </is>
      </c>
      <c r="D118" s="9" t="n">
        <v>20</v>
      </c>
      <c r="E118" s="9" t="n">
        <v>0</v>
      </c>
      <c r="F118" s="9" t="n">
        <v>1</v>
      </c>
      <c r="G118" s="9" t="n">
        <v>1</v>
      </c>
      <c r="H118" s="10">
        <f>D118/22</f>
        <v/>
      </c>
    </row>
    <row r="119">
      <c r="A119" t="inlineStr">
        <is>
          <t>2026-12</t>
        </is>
      </c>
      <c r="B119" t="inlineStr">
        <is>
          <t>Horia Lazarescu</t>
        </is>
      </c>
      <c r="C119" t="inlineStr">
        <is>
          <t>Finance</t>
        </is>
      </c>
      <c r="D119" t="n">
        <v>16</v>
      </c>
      <c r="E119" t="n">
        <v>4</v>
      </c>
      <c r="F119" t="n">
        <v>0</v>
      </c>
      <c r="G119" t="n">
        <v>2</v>
      </c>
      <c r="H119" s="11">
        <f>D119/22</f>
        <v/>
      </c>
    </row>
    <row r="120">
      <c r="A120" s="9" t="inlineStr">
        <is>
          <t>2026-12</t>
        </is>
      </c>
      <c r="B120" s="9" t="inlineStr">
        <is>
          <t>Ingrid Marinescu</t>
        </is>
      </c>
      <c r="C120" s="9" t="inlineStr">
        <is>
          <t>IT</t>
        </is>
      </c>
      <c r="D120" s="9" t="n">
        <v>17</v>
      </c>
      <c r="E120" s="9" t="n">
        <v>0</v>
      </c>
      <c r="F120" s="9" t="n">
        <v>3</v>
      </c>
      <c r="G120" s="9" t="n">
        <v>2</v>
      </c>
      <c r="H120" s="10">
        <f>D120/22</f>
        <v/>
      </c>
    </row>
    <row r="121">
      <c r="A121" t="inlineStr">
        <is>
          <t>2026-12</t>
        </is>
      </c>
      <c r="B121" t="inlineStr">
        <is>
          <t>Julian Petrescu</t>
        </is>
      </c>
      <c r="C121" t="inlineStr">
        <is>
          <t>IT</t>
        </is>
      </c>
      <c r="D121" t="n">
        <v>16</v>
      </c>
      <c r="E121" t="n">
        <v>2</v>
      </c>
      <c r="F121" t="n">
        <v>3</v>
      </c>
      <c r="G121" t="n">
        <v>1</v>
      </c>
      <c r="H121" s="11">
        <f>D121/22</f>
        <v/>
      </c>
    </row>
  </sheetData>
  <autoFilter ref="A1:H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Avg Rate</t>
        </is>
      </c>
      <c r="D1" t="inlineStr">
        <is>
          <t>Month</t>
        </is>
      </c>
      <c r="E1" t="inlineStr">
        <is>
          <t>Avg Rate</t>
        </is>
      </c>
      <c r="G1" t="inlineStr">
        <is>
          <t>Employee</t>
        </is>
      </c>
      <c r="H1" t="inlineStr">
        <is>
          <t>Total Late Days</t>
        </is>
      </c>
      <c r="J1" t="inlineStr">
        <is>
          <t>Employee</t>
        </is>
      </c>
      <c r="K1" t="inlineStr">
        <is>
          <t>Avg Rate</t>
        </is>
      </c>
    </row>
    <row r="2">
      <c r="A2" t="inlineStr">
        <is>
          <t>Finance</t>
        </is>
      </c>
      <c r="B2" s="11">
        <f>AVERAGEIF(Data!$C$2:$C$121,A2,Data!$H$2:$H$121)</f>
        <v/>
      </c>
      <c r="D2" t="inlineStr">
        <is>
          <t>2026-01</t>
        </is>
      </c>
      <c r="E2" s="11">
        <f>AVERAGEIF(Data!$A$2:$A$121,D2,Data!$H$2:$H$121)</f>
        <v/>
      </c>
      <c r="G2" t="inlineStr">
        <is>
          <t>Ana Marinescu</t>
        </is>
      </c>
      <c r="H2">
        <f>SUMIF(Data!$B$2:$B$121,G2,Data!$E$2:$E$121)</f>
        <v/>
      </c>
      <c r="J2" t="inlineStr">
        <is>
          <t>Ana Marinescu</t>
        </is>
      </c>
      <c r="K2" s="11">
        <f>AVERAGEIF(Data!$B$2:$B$121,J2,Data!$H$2:$H$121)</f>
        <v/>
      </c>
    </row>
    <row r="3">
      <c r="A3" t="inlineStr">
        <is>
          <t>HR</t>
        </is>
      </c>
      <c r="B3" s="11">
        <f>AVERAGEIF(Data!$C$2:$C$121,A3,Data!$H$2:$H$121)</f>
        <v/>
      </c>
      <c r="D3" t="inlineStr">
        <is>
          <t>2026-02</t>
        </is>
      </c>
      <c r="E3" s="11">
        <f>AVERAGEIF(Data!$A$2:$A$121,D3,Data!$H$2:$H$121)</f>
        <v/>
      </c>
      <c r="G3" t="inlineStr">
        <is>
          <t>Bogdan Radu</t>
        </is>
      </c>
      <c r="H3">
        <f>SUMIF(Data!$B$2:$B$121,G3,Data!$E$2:$E$121)</f>
        <v/>
      </c>
      <c r="J3" t="inlineStr">
        <is>
          <t>Bogdan Radu</t>
        </is>
      </c>
      <c r="K3" s="11">
        <f>AVERAGEIF(Data!$B$2:$B$121,J3,Data!$H$2:$H$121)</f>
        <v/>
      </c>
    </row>
    <row r="4">
      <c r="A4" t="inlineStr">
        <is>
          <t>IT</t>
        </is>
      </c>
      <c r="B4" s="11">
        <f>AVERAGEIF(Data!$C$2:$C$121,A4,Data!$H$2:$H$121)</f>
        <v/>
      </c>
      <c r="D4" t="inlineStr">
        <is>
          <t>2026-03</t>
        </is>
      </c>
      <c r="E4" s="11">
        <f>AVERAGEIF(Data!$A$2:$A$121,D4,Data!$H$2:$H$121)</f>
        <v/>
      </c>
      <c r="G4" t="inlineStr">
        <is>
          <t>Carmen Popa</t>
        </is>
      </c>
      <c r="H4">
        <f>SUMIF(Data!$B$2:$B$121,G4,Data!$E$2:$E$121)</f>
        <v/>
      </c>
      <c r="J4" t="inlineStr">
        <is>
          <t>Carmen Popa</t>
        </is>
      </c>
      <c r="K4" s="11">
        <f>AVERAGEIF(Data!$B$2:$B$121,J4,Data!$H$2:$H$121)</f>
        <v/>
      </c>
    </row>
    <row r="5">
      <c r="A5" t="inlineStr">
        <is>
          <t>Operations</t>
        </is>
      </c>
      <c r="B5" s="11">
        <f>AVERAGEIF(Data!$C$2:$C$121,A5,Data!$H$2:$H$121)</f>
        <v/>
      </c>
      <c r="D5" t="inlineStr">
        <is>
          <t>2026-04</t>
        </is>
      </c>
      <c r="E5" s="11">
        <f>AVERAGEIF(Data!$A$2:$A$121,D5,Data!$H$2:$H$121)</f>
        <v/>
      </c>
      <c r="G5" t="inlineStr">
        <is>
          <t>David Stan</t>
        </is>
      </c>
      <c r="H5">
        <f>SUMIF(Data!$B$2:$B$121,G5,Data!$E$2:$E$121)</f>
        <v/>
      </c>
      <c r="J5" t="inlineStr">
        <is>
          <t>David Stan</t>
        </is>
      </c>
      <c r="K5" s="11">
        <f>AVERAGEIF(Data!$B$2:$B$121,J5,Data!$H$2:$H$121)</f>
        <v/>
      </c>
    </row>
    <row r="6">
      <c r="A6" t="inlineStr">
        <is>
          <t>Sales</t>
        </is>
      </c>
      <c r="B6" s="11">
        <f>AVERAGEIF(Data!$C$2:$C$121,A6,Data!$H$2:$H$121)</f>
        <v/>
      </c>
      <c r="D6" t="inlineStr">
        <is>
          <t>2026-05</t>
        </is>
      </c>
      <c r="E6" s="11">
        <f>AVERAGEIF(Data!$A$2:$A$121,D6,Data!$H$2:$H$121)</f>
        <v/>
      </c>
      <c r="G6" t="inlineStr">
        <is>
          <t>Elena Vasile</t>
        </is>
      </c>
      <c r="H6">
        <f>SUMIF(Data!$B$2:$B$121,G6,Data!$E$2:$E$121)</f>
        <v/>
      </c>
      <c r="J6" t="inlineStr">
        <is>
          <t>Elena Vasile</t>
        </is>
      </c>
      <c r="K6" s="11">
        <f>AVERAGEIF(Data!$B$2:$B$121,J6,Data!$H$2:$H$121)</f>
        <v/>
      </c>
    </row>
    <row r="7">
      <c r="D7" t="inlineStr">
        <is>
          <t>2026-06</t>
        </is>
      </c>
      <c r="E7" s="11">
        <f>AVERAGEIF(Data!$A$2:$A$121,D7,Data!$H$2:$H$121)</f>
        <v/>
      </c>
      <c r="G7" t="inlineStr">
        <is>
          <t>Filip Barbu</t>
        </is>
      </c>
      <c r="H7">
        <f>SUMIF(Data!$B$2:$B$121,G7,Data!$E$2:$E$121)</f>
        <v/>
      </c>
      <c r="J7" t="inlineStr">
        <is>
          <t>Filip Barbu</t>
        </is>
      </c>
      <c r="K7" s="11">
        <f>AVERAGEIF(Data!$B$2:$B$121,J7,Data!$H$2:$H$121)</f>
        <v/>
      </c>
    </row>
    <row r="8">
      <c r="D8" t="inlineStr">
        <is>
          <t>2026-07</t>
        </is>
      </c>
      <c r="E8" s="11">
        <f>AVERAGEIF(Data!$A$2:$A$121,D8,Data!$H$2:$H$121)</f>
        <v/>
      </c>
      <c r="G8" t="inlineStr">
        <is>
          <t>Georgiana Mara</t>
        </is>
      </c>
      <c r="H8">
        <f>SUMIF(Data!$B$2:$B$121,G8,Data!$E$2:$E$121)</f>
        <v/>
      </c>
      <c r="J8" t="inlineStr">
        <is>
          <t>Georgiana Mara</t>
        </is>
      </c>
      <c r="K8" s="11">
        <f>AVERAGEIF(Data!$B$2:$B$121,J8,Data!$H$2:$H$121)</f>
        <v/>
      </c>
    </row>
    <row r="9">
      <c r="D9" t="inlineStr">
        <is>
          <t>2026-08</t>
        </is>
      </c>
      <c r="E9" s="11">
        <f>AVERAGEIF(Data!$A$2:$A$121,D9,Data!$H$2:$H$121)</f>
        <v/>
      </c>
      <c r="G9" t="inlineStr">
        <is>
          <t>Horia Lazarescu</t>
        </is>
      </c>
      <c r="H9">
        <f>SUMIF(Data!$B$2:$B$121,G9,Data!$E$2:$E$121)</f>
        <v/>
      </c>
      <c r="J9" t="inlineStr">
        <is>
          <t>Horia Lazarescu</t>
        </is>
      </c>
      <c r="K9" s="11">
        <f>AVERAGEIF(Data!$B$2:$B$121,J9,Data!$H$2:$H$121)</f>
        <v/>
      </c>
    </row>
    <row r="10">
      <c r="D10" t="inlineStr">
        <is>
          <t>2026-09</t>
        </is>
      </c>
      <c r="E10" s="11">
        <f>AVERAGEIF(Data!$A$2:$A$121,D10,Data!$H$2:$H$121)</f>
        <v/>
      </c>
      <c r="G10" t="inlineStr">
        <is>
          <t>Ingrid Marinescu</t>
        </is>
      </c>
      <c r="H10">
        <f>SUMIF(Data!$B$2:$B$121,G10,Data!$E$2:$E$121)</f>
        <v/>
      </c>
      <c r="J10" t="inlineStr">
        <is>
          <t>Ingrid Marinescu</t>
        </is>
      </c>
      <c r="K10" s="11">
        <f>AVERAGEIF(Data!$B$2:$B$121,J10,Data!$H$2:$H$121)</f>
        <v/>
      </c>
    </row>
    <row r="11">
      <c r="D11" t="inlineStr">
        <is>
          <t>2026-10</t>
        </is>
      </c>
      <c r="E11" s="11">
        <f>AVERAGEIF(Data!$A$2:$A$121,D11,Data!$H$2:$H$121)</f>
        <v/>
      </c>
      <c r="G11" t="inlineStr">
        <is>
          <t>Julian Petrescu</t>
        </is>
      </c>
      <c r="H11">
        <f>SUMIF(Data!$B$2:$B$121,G11,Data!$E$2:$E$121)</f>
        <v/>
      </c>
      <c r="J11" t="inlineStr">
        <is>
          <t>Julian Petrescu</t>
        </is>
      </c>
      <c r="K11" s="11">
        <f>AVERAGEIF(Data!$B$2:$B$121,J11,Data!$H$2:$H$121)</f>
        <v/>
      </c>
    </row>
    <row r="12">
      <c r="D12" t="inlineStr">
        <is>
          <t>2026-11</t>
        </is>
      </c>
      <c r="E12" s="11">
        <f>AVERAGEIF(Data!$A$2:$A$121,D12,Data!$H$2:$H$121)</f>
        <v/>
      </c>
    </row>
    <row r="13">
      <c r="D13" t="inlineStr">
        <is>
          <t>2026-12</t>
        </is>
      </c>
      <c r="E13" s="11">
        <f>AVERAGEIF(Data!$A$2:$A$121,D13,Data!$H$2:$H$121)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2026-10-04T07:20:05Z</dcterms:created>
  <dcterms:modified xmlns:dcterms="http://purl.org/dc/terms/" xmlns:xsi="http://www.w3.org/2001/XMLSchema-instance" xsi:type="dcterms:W3CDTF">2026-10-04T07:20:05Z</dcterms:modified>
</cp:coreProperties>
</file>