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Calc" sheetId="3" state="hidden" r:id="rId3"/>
  </sheets>
  <definedNames>
    <definedName name="_xlnm._FilterDatabase" localSheetId="1" hidden="1">'Data'!$A$1:$F$145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1"/>
    </font>
    <font>
      <i val="1"/>
      <color rgb="00808080"/>
      <sz val="10"/>
    </font>
    <font>
      <b val="1"/>
      <color rgb="00FFFFFF"/>
      <sz val="10"/>
    </font>
    <font>
      <b val="1"/>
      <color rgb="00262626"/>
      <sz val="16"/>
    </font>
    <font>
      <b val="1"/>
      <color rgb="00FFFFFF"/>
      <sz val="11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62626"/>
      </patternFill>
    </fill>
    <fill>
      <patternFill patternType="solid">
        <fgColor rgb="00ED7D3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indent="1"/>
    </xf>
    <xf numFmtId="0" fontId="4" fillId="3" borderId="0" applyAlignment="1" pivotButton="0" quotePrefix="0" xfId="0">
      <alignment horizontal="left" vertical="center" indent="1"/>
    </xf>
    <xf numFmtId="166" fontId="5" fillId="4" borderId="0" applyAlignment="1" pivotButton="0" quotePrefix="0" xfId="0">
      <alignment horizontal="left" vertical="center" indent="1"/>
    </xf>
    <xf numFmtId="3" fontId="5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6" fillId="2" borderId="0" pivotButton="0" quotePrefix="0" xfId="0"/>
    <xf numFmtId="0" fontId="7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6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Model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'Calc'!$A$2:$A$7</f>
            </numRef>
          </cat>
          <val>
            <numRef>
              <f>'Calc'!$B$2:$B$7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'Calc'!E1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'Calc'!$D$2:$D$13</f>
            </numRef>
          </cat>
          <val>
            <numRef>
              <f>'Calc'!$E$2:$E$13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Fuel Mix</a:t>
            </a:r>
          </a:p>
        </rich>
      </tx>
    </title>
    <plotArea>
      <doughnutChart>
        <varyColors val="1"/>
        <ser>
          <idx val="0"/>
          <order val="0"/>
          <tx>
            <strRef>
              <f>'Calc'!H1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'Calc'!$G$2:$G$5</f>
            </numRef>
          </cat>
          <val>
            <numRef>
              <f>'Calc'!$H$2:$H$5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46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46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38</row>
      <rowOff>0</rowOff>
    </from>
    <ext cx="46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62626"/>
    <outlinePr summaryBelow="1" summaryRight="1"/>
    <pageSetUpPr/>
  </sheetPr>
  <dimension ref="A1:N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3" customWidth="1" min="2" max="2"/>
    <col width="13" customWidth="1" min="3" max="3"/>
    <col width="13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🏎  CAR DEALERSHIP — SALES COMMAND CENTER</t>
        </is>
      </c>
    </row>
    <row r="2"/>
    <row r="3">
      <c r="A3" s="2" t="inlineStr">
        <is>
          <t>Season 2025 · all KPIs and charts are formula-driven — paste your own sales log into Data</t>
        </is>
      </c>
    </row>
    <row r="5">
      <c r="B5" s="3" t="inlineStr">
        <is>
          <t>TOTAL REVENUE</t>
        </is>
      </c>
    </row>
    <row r="6" ht="28" customHeight="1">
      <c r="B6" s="4">
        <f>SUM(Data!F2:F145)</f>
        <v/>
      </c>
    </row>
    <row r="8">
      <c r="B8" s="3" t="inlineStr">
        <is>
          <t>CARS SOLD</t>
        </is>
      </c>
    </row>
    <row r="9" ht="28" customHeight="1">
      <c r="B9" s="5">
        <f>COUNTA(Data!A2:A145)</f>
        <v/>
      </c>
    </row>
    <row r="11">
      <c r="B11" s="3" t="inlineStr">
        <is>
          <t>AVG SALE PRICE</t>
        </is>
      </c>
    </row>
    <row r="12" ht="28" customHeight="1">
      <c r="B12" s="4">
        <f>AVERAGE(Data!F2:F145)</f>
        <v/>
      </c>
    </row>
    <row r="14">
      <c r="B14" s="3" t="inlineStr">
        <is>
          <t>TOP MODEL</t>
        </is>
      </c>
    </row>
    <row r="15" ht="28" customHeight="1">
      <c r="B15" s="6">
        <f>INDEX(Calc!A2:A7,MATCH(MAX(Calc!B2:B7),Calc!B2:B7,0))</f>
        <v/>
      </c>
    </row>
    <row r="18">
      <c r="B18" s="7" t="inlineStr">
        <is>
          <t>🏆  SALESPERSON LEADERBOARD</t>
        </is>
      </c>
    </row>
    <row r="19">
      <c r="B19" s="8" t="inlineStr">
        <is>
          <t>RANK</t>
        </is>
      </c>
      <c r="C19" s="8" t="inlineStr">
        <is>
          <t>SALESPERSON</t>
        </is>
      </c>
      <c r="D19" s="8" t="inlineStr">
        <is>
          <t>REVENUE</t>
        </is>
      </c>
    </row>
    <row r="20">
      <c r="B20" s="9" t="n">
        <v>1</v>
      </c>
      <c r="C20" t="inlineStr">
        <is>
          <t>Sorin Ilie</t>
        </is>
      </c>
      <c r="D20" s="10">
        <f>SUMIF(Data!$C$2:$C$145,C20,Data!$F$2:$F$145)</f>
        <v/>
      </c>
    </row>
    <row r="21">
      <c r="B21" s="9" t="n">
        <v>2</v>
      </c>
      <c r="C21" t="inlineStr">
        <is>
          <t>Ioana Vlad</t>
        </is>
      </c>
      <c r="D21" s="10">
        <f>SUMIF(Data!$C$2:$C$145,C21,Data!$F$2:$F$145)</f>
        <v/>
      </c>
    </row>
    <row r="22">
      <c r="B22" s="9" t="n">
        <v>3</v>
      </c>
      <c r="C22" t="inlineStr">
        <is>
          <t>Alexandra Ene</t>
        </is>
      </c>
      <c r="D22" s="10">
        <f>SUMIF(Data!$C$2:$C$145,C22,Data!$F$2:$F$145)</f>
        <v/>
      </c>
    </row>
    <row r="23">
      <c r="B23" s="9" t="n">
        <v>4</v>
      </c>
      <c r="C23" t="inlineStr">
        <is>
          <t>Andrei Munteanu</t>
        </is>
      </c>
      <c r="D23" s="10">
        <f>SUMIF(Data!$C$2:$C$145,C23,Data!$F$2:$F$145)</f>
        <v/>
      </c>
    </row>
    <row r="24">
      <c r="B24" s="9" t="n">
        <v>5</v>
      </c>
      <c r="C24" t="inlineStr">
        <is>
          <t>Cristian Dinu</t>
        </is>
      </c>
      <c r="D24" s="10">
        <f>SUMIF(Data!$C$2:$C$145,C24,Data!$F$2:$F$145)</f>
        <v/>
      </c>
    </row>
  </sheetData>
  <mergeCells count="11">
    <mergeCell ref="B11:E11"/>
    <mergeCell ref="B14:E14"/>
    <mergeCell ref="A1:N2"/>
    <mergeCell ref="A3:N3"/>
    <mergeCell ref="B15:E15"/>
    <mergeCell ref="B18:D18"/>
    <mergeCell ref="B8:E8"/>
    <mergeCell ref="B9:E9"/>
    <mergeCell ref="B5:E5"/>
    <mergeCell ref="B6:E6"/>
    <mergeCell ref="B12:E12"/>
  </mergeCells>
  <conditionalFormatting sqref="D20:D24">
    <cfRule type="dataBar" priority="1">
      <dataBar showValue="1">
        <cfvo type="num" val="0"/>
        <cfvo type="max"/>
        <color rgb="00ED7D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D7D31"/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0" customWidth="1" min="5" max="5"/>
    <col width="12" customWidth="1" min="6" max="6"/>
  </cols>
  <sheetData>
    <row r="1">
      <c r="A1" s="11" t="inlineStr">
        <is>
          <t>Date</t>
        </is>
      </c>
      <c r="B1" s="11" t="inlineStr">
        <is>
          <t>Month</t>
        </is>
      </c>
      <c r="C1" s="11" t="inlineStr">
        <is>
          <t>Salesperson</t>
        </is>
      </c>
      <c r="D1" s="11" t="inlineStr">
        <is>
          <t>Model</t>
        </is>
      </c>
      <c r="E1" s="11" t="inlineStr">
        <is>
          <t>Fuel</t>
        </is>
      </c>
      <c r="F1" s="11" t="inlineStr">
        <is>
          <t>Price</t>
        </is>
      </c>
    </row>
    <row r="2">
      <c r="A2" s="12" t="n">
        <v>45672</v>
      </c>
      <c r="B2" t="inlineStr">
        <is>
          <t>2025-01</t>
        </is>
      </c>
      <c r="C2" t="inlineStr">
        <is>
          <t>Sorin Ilie</t>
        </is>
      </c>
      <c r="D2" t="inlineStr">
        <is>
          <t>Renault Clio</t>
        </is>
      </c>
      <c r="E2" t="inlineStr">
        <is>
          <t>Diesel</t>
        </is>
      </c>
      <c r="F2" s="10" t="n">
        <v>18814</v>
      </c>
    </row>
    <row r="3">
      <c r="A3" s="12" t="n">
        <v>45678</v>
      </c>
      <c r="B3" t="inlineStr">
        <is>
          <t>2025-01</t>
        </is>
      </c>
      <c r="C3" t="inlineStr">
        <is>
          <t>Sorin Ilie</t>
        </is>
      </c>
      <c r="D3" t="inlineStr">
        <is>
          <t>Dacia Sandero</t>
        </is>
      </c>
      <c r="E3" t="inlineStr">
        <is>
          <t>Diesel</t>
        </is>
      </c>
      <c r="F3" s="10" t="n">
        <v>16897</v>
      </c>
    </row>
    <row r="4">
      <c r="A4" s="12" t="n">
        <v>45662</v>
      </c>
      <c r="B4" t="inlineStr">
        <is>
          <t>2025-01</t>
        </is>
      </c>
      <c r="C4" t="inlineStr">
        <is>
          <t>Alexandra Ene</t>
        </is>
      </c>
      <c r="D4" t="inlineStr">
        <is>
          <t>Dacia Logan</t>
        </is>
      </c>
      <c r="E4" t="inlineStr">
        <is>
          <t>Petrol</t>
        </is>
      </c>
      <c r="F4" s="10" t="n">
        <v>12242</v>
      </c>
    </row>
    <row r="5">
      <c r="A5" s="12" t="n">
        <v>45670</v>
      </c>
      <c r="B5" t="inlineStr">
        <is>
          <t>2025-01</t>
        </is>
      </c>
      <c r="C5" t="inlineStr">
        <is>
          <t>Andrei Munteanu</t>
        </is>
      </c>
      <c r="D5" t="inlineStr">
        <is>
          <t>Skoda Octavia</t>
        </is>
      </c>
      <c r="E5" t="inlineStr">
        <is>
          <t>Electric</t>
        </is>
      </c>
      <c r="F5" s="10" t="n">
        <v>25877</v>
      </c>
    </row>
    <row r="6">
      <c r="A6" s="12" t="n">
        <v>45663</v>
      </c>
      <c r="B6" t="inlineStr">
        <is>
          <t>2025-01</t>
        </is>
      </c>
      <c r="C6" t="inlineStr">
        <is>
          <t>Sorin Ilie</t>
        </is>
      </c>
      <c r="D6" t="inlineStr">
        <is>
          <t>VW Golf</t>
        </is>
      </c>
      <c r="E6" t="inlineStr">
        <is>
          <t>Petrol</t>
        </is>
      </c>
      <c r="F6" s="10" t="n">
        <v>27325</v>
      </c>
    </row>
    <row r="7">
      <c r="A7" s="12" t="n">
        <v>45659</v>
      </c>
      <c r="B7" t="inlineStr">
        <is>
          <t>2025-01</t>
        </is>
      </c>
      <c r="C7" t="inlineStr">
        <is>
          <t>Andrei Munteanu</t>
        </is>
      </c>
      <c r="D7" t="inlineStr">
        <is>
          <t>Skoda Octavia</t>
        </is>
      </c>
      <c r="E7" t="inlineStr">
        <is>
          <t>Diesel</t>
        </is>
      </c>
      <c r="F7" s="10" t="n">
        <v>21487</v>
      </c>
    </row>
    <row r="8">
      <c r="A8" s="12" t="n">
        <v>45682</v>
      </c>
      <c r="B8" t="inlineStr">
        <is>
          <t>2025-01</t>
        </is>
      </c>
      <c r="C8" t="inlineStr">
        <is>
          <t>Sorin Ilie</t>
        </is>
      </c>
      <c r="D8" t="inlineStr">
        <is>
          <t>Dacia Sandero</t>
        </is>
      </c>
      <c r="E8" t="inlineStr">
        <is>
          <t>Electric</t>
        </is>
      </c>
      <c r="F8" s="10" t="n">
        <v>13246</v>
      </c>
    </row>
    <row r="9">
      <c r="A9" s="12" t="n">
        <v>45684</v>
      </c>
      <c r="B9" t="inlineStr">
        <is>
          <t>2025-01</t>
        </is>
      </c>
      <c r="C9" t="inlineStr">
        <is>
          <t>Alexandra Ene</t>
        </is>
      </c>
      <c r="D9" t="inlineStr">
        <is>
          <t>Dacia Duster</t>
        </is>
      </c>
      <c r="E9" t="inlineStr">
        <is>
          <t>Diesel</t>
        </is>
      </c>
      <c r="F9" s="10" t="n">
        <v>23341</v>
      </c>
    </row>
    <row r="10">
      <c r="A10" s="12" t="n">
        <v>45667</v>
      </c>
      <c r="B10" t="inlineStr">
        <is>
          <t>2025-01</t>
        </is>
      </c>
      <c r="C10" t="inlineStr">
        <is>
          <t>Ioana Vlad</t>
        </is>
      </c>
      <c r="D10" t="inlineStr">
        <is>
          <t>Skoda Octavia</t>
        </is>
      </c>
      <c r="E10" t="inlineStr">
        <is>
          <t>Electric</t>
        </is>
      </c>
      <c r="F10" s="10" t="n">
        <v>26245</v>
      </c>
    </row>
    <row r="11">
      <c r="A11" s="12" t="n">
        <v>45678</v>
      </c>
      <c r="B11" t="inlineStr">
        <is>
          <t>2025-01</t>
        </is>
      </c>
      <c r="C11" t="inlineStr">
        <is>
          <t>Andrei Munteanu</t>
        </is>
      </c>
      <c r="D11" t="inlineStr">
        <is>
          <t>Dacia Logan</t>
        </is>
      </c>
      <c r="E11" t="inlineStr">
        <is>
          <t>Hybrid</t>
        </is>
      </c>
      <c r="F11" s="10" t="n">
        <v>12873</v>
      </c>
    </row>
    <row r="12">
      <c r="A12" s="12" t="n">
        <v>45680</v>
      </c>
      <c r="B12" t="inlineStr">
        <is>
          <t>2025-01</t>
        </is>
      </c>
      <c r="C12" t="inlineStr">
        <is>
          <t>Sorin Ilie</t>
        </is>
      </c>
      <c r="D12" t="inlineStr">
        <is>
          <t>Renault Clio</t>
        </is>
      </c>
      <c r="E12" t="inlineStr">
        <is>
          <t>Hybrid</t>
        </is>
      </c>
      <c r="F12" s="10" t="n">
        <v>15681</v>
      </c>
    </row>
    <row r="13">
      <c r="A13" s="12" t="n">
        <v>45667</v>
      </c>
      <c r="B13" t="inlineStr">
        <is>
          <t>2025-01</t>
        </is>
      </c>
      <c r="C13" t="inlineStr">
        <is>
          <t>Ioana Vlad</t>
        </is>
      </c>
      <c r="D13" t="inlineStr">
        <is>
          <t>Dacia Duster</t>
        </is>
      </c>
      <c r="E13" t="inlineStr">
        <is>
          <t>Petrol</t>
        </is>
      </c>
      <c r="F13" s="10" t="n">
        <v>22701</v>
      </c>
    </row>
    <row r="14">
      <c r="A14" s="12" t="n">
        <v>45692</v>
      </c>
      <c r="B14" t="inlineStr">
        <is>
          <t>2025-02</t>
        </is>
      </c>
      <c r="C14" t="inlineStr">
        <is>
          <t>Sorin Ilie</t>
        </is>
      </c>
      <c r="D14" t="inlineStr">
        <is>
          <t>Dacia Logan</t>
        </is>
      </c>
      <c r="E14" t="inlineStr">
        <is>
          <t>Electric</t>
        </is>
      </c>
      <c r="F14" s="10" t="n">
        <v>14138</v>
      </c>
    </row>
    <row r="15">
      <c r="A15" s="12" t="n">
        <v>45691</v>
      </c>
      <c r="B15" t="inlineStr">
        <is>
          <t>2025-02</t>
        </is>
      </c>
      <c r="C15" t="inlineStr">
        <is>
          <t>Cristian Dinu</t>
        </is>
      </c>
      <c r="D15" t="inlineStr">
        <is>
          <t>Dacia Logan</t>
        </is>
      </c>
      <c r="E15" t="inlineStr">
        <is>
          <t>Petrol</t>
        </is>
      </c>
      <c r="F15" s="10" t="n">
        <v>12583</v>
      </c>
    </row>
    <row r="16">
      <c r="A16" s="12" t="n">
        <v>45695</v>
      </c>
      <c r="B16" t="inlineStr">
        <is>
          <t>2025-02</t>
        </is>
      </c>
      <c r="C16" t="inlineStr">
        <is>
          <t>Andrei Munteanu</t>
        </is>
      </c>
      <c r="D16" t="inlineStr">
        <is>
          <t>VW Golf</t>
        </is>
      </c>
      <c r="E16" t="inlineStr">
        <is>
          <t>Petrol</t>
        </is>
      </c>
      <c r="F16" s="10" t="n">
        <v>23749</v>
      </c>
    </row>
    <row r="17">
      <c r="A17" s="12" t="n">
        <v>45702</v>
      </c>
      <c r="B17" t="inlineStr">
        <is>
          <t>2025-02</t>
        </is>
      </c>
      <c r="C17" t="inlineStr">
        <is>
          <t>Alexandra Ene</t>
        </is>
      </c>
      <c r="D17" t="inlineStr">
        <is>
          <t>Renault Clio</t>
        </is>
      </c>
      <c r="E17" t="inlineStr">
        <is>
          <t>Petrol</t>
        </is>
      </c>
      <c r="F17" s="10" t="n">
        <v>18255</v>
      </c>
    </row>
    <row r="18">
      <c r="A18" s="12" t="n">
        <v>45710</v>
      </c>
      <c r="B18" t="inlineStr">
        <is>
          <t>2025-02</t>
        </is>
      </c>
      <c r="C18" t="inlineStr">
        <is>
          <t>Ioana Vlad</t>
        </is>
      </c>
      <c r="D18" t="inlineStr">
        <is>
          <t>Skoda Octavia</t>
        </is>
      </c>
      <c r="E18" t="inlineStr">
        <is>
          <t>Hybrid</t>
        </is>
      </c>
      <c r="F18" s="10" t="n">
        <v>27377</v>
      </c>
    </row>
    <row r="19">
      <c r="A19" s="12" t="n">
        <v>45699</v>
      </c>
      <c r="B19" t="inlineStr">
        <is>
          <t>2025-02</t>
        </is>
      </c>
      <c r="C19" t="inlineStr">
        <is>
          <t>Andrei Munteanu</t>
        </is>
      </c>
      <c r="D19" t="inlineStr">
        <is>
          <t>Dacia Duster</t>
        </is>
      </c>
      <c r="E19" t="inlineStr">
        <is>
          <t>Petrol</t>
        </is>
      </c>
      <c r="F19" s="10" t="n">
        <v>21049</v>
      </c>
    </row>
    <row r="20">
      <c r="A20" s="12" t="n">
        <v>45696</v>
      </c>
      <c r="B20" t="inlineStr">
        <is>
          <t>2025-02</t>
        </is>
      </c>
      <c r="C20" t="inlineStr">
        <is>
          <t>Andrei Munteanu</t>
        </is>
      </c>
      <c r="D20" t="inlineStr">
        <is>
          <t>Renault Clio</t>
        </is>
      </c>
      <c r="E20" t="inlineStr">
        <is>
          <t>Petrol</t>
        </is>
      </c>
      <c r="F20" s="10" t="n">
        <v>16102</v>
      </c>
    </row>
    <row r="21">
      <c r="A21" s="12" t="n">
        <v>45714</v>
      </c>
      <c r="B21" t="inlineStr">
        <is>
          <t>2025-02</t>
        </is>
      </c>
      <c r="C21" t="inlineStr">
        <is>
          <t>Andrei Munteanu</t>
        </is>
      </c>
      <c r="D21" t="inlineStr">
        <is>
          <t>Dacia Logan</t>
        </is>
      </c>
      <c r="E21" t="inlineStr">
        <is>
          <t>Electric</t>
        </is>
      </c>
      <c r="F21" s="10" t="n">
        <v>12904</v>
      </c>
    </row>
    <row r="22">
      <c r="A22" s="12" t="n">
        <v>45703</v>
      </c>
      <c r="B22" t="inlineStr">
        <is>
          <t>2025-02</t>
        </is>
      </c>
      <c r="C22" t="inlineStr">
        <is>
          <t>Sorin Ilie</t>
        </is>
      </c>
      <c r="D22" t="inlineStr">
        <is>
          <t>Dacia Sandero</t>
        </is>
      </c>
      <c r="E22" t="inlineStr">
        <is>
          <t>Diesel</t>
        </is>
      </c>
      <c r="F22" s="10" t="n">
        <v>14543</v>
      </c>
    </row>
    <row r="23">
      <c r="A23" s="12" t="n">
        <v>45709</v>
      </c>
      <c r="B23" t="inlineStr">
        <is>
          <t>2025-02</t>
        </is>
      </c>
      <c r="C23" t="inlineStr">
        <is>
          <t>Ioana Vlad</t>
        </is>
      </c>
      <c r="D23" t="inlineStr">
        <is>
          <t>VW Golf</t>
        </is>
      </c>
      <c r="E23" t="inlineStr">
        <is>
          <t>Electric</t>
        </is>
      </c>
      <c r="F23" s="10" t="n">
        <v>25434</v>
      </c>
    </row>
    <row r="24">
      <c r="A24" s="12" t="n">
        <v>45695</v>
      </c>
      <c r="B24" t="inlineStr">
        <is>
          <t>2025-02</t>
        </is>
      </c>
      <c r="C24" t="inlineStr">
        <is>
          <t>Alexandra Ene</t>
        </is>
      </c>
      <c r="D24" t="inlineStr">
        <is>
          <t>Dacia Logan</t>
        </is>
      </c>
      <c r="E24" t="inlineStr">
        <is>
          <t>Petrol</t>
        </is>
      </c>
      <c r="F24" s="10" t="n">
        <v>12723</v>
      </c>
    </row>
    <row r="25">
      <c r="A25" s="12" t="n">
        <v>45689</v>
      </c>
      <c r="B25" t="inlineStr">
        <is>
          <t>2025-02</t>
        </is>
      </c>
      <c r="C25" t="inlineStr">
        <is>
          <t>Sorin Ilie</t>
        </is>
      </c>
      <c r="D25" t="inlineStr">
        <is>
          <t>Dacia Duster</t>
        </is>
      </c>
      <c r="E25" t="inlineStr">
        <is>
          <t>Diesel</t>
        </is>
      </c>
      <c r="F25" s="10" t="n">
        <v>20991</v>
      </c>
    </row>
    <row r="26">
      <c r="A26" s="12" t="n">
        <v>45718</v>
      </c>
      <c r="B26" t="inlineStr">
        <is>
          <t>2025-03</t>
        </is>
      </c>
      <c r="C26" t="inlineStr">
        <is>
          <t>Alexandra Ene</t>
        </is>
      </c>
      <c r="D26" t="inlineStr">
        <is>
          <t>Dacia Sandero</t>
        </is>
      </c>
      <c r="E26" t="inlineStr">
        <is>
          <t>Diesel</t>
        </is>
      </c>
      <c r="F26" s="10" t="n">
        <v>13821</v>
      </c>
    </row>
    <row r="27">
      <c r="A27" s="12" t="n">
        <v>45717</v>
      </c>
      <c r="B27" t="inlineStr">
        <is>
          <t>2025-03</t>
        </is>
      </c>
      <c r="C27" t="inlineStr">
        <is>
          <t>Alexandra Ene</t>
        </is>
      </c>
      <c r="D27" t="inlineStr">
        <is>
          <t>Dacia Sandero</t>
        </is>
      </c>
      <c r="E27" t="inlineStr">
        <is>
          <t>Hybrid</t>
        </is>
      </c>
      <c r="F27" s="10" t="n">
        <v>15115</v>
      </c>
    </row>
    <row r="28">
      <c r="A28" s="12" t="n">
        <v>45719</v>
      </c>
      <c r="B28" t="inlineStr">
        <is>
          <t>2025-03</t>
        </is>
      </c>
      <c r="C28" t="inlineStr">
        <is>
          <t>Alexandra Ene</t>
        </is>
      </c>
      <c r="D28" t="inlineStr">
        <is>
          <t>Dacia Duster</t>
        </is>
      </c>
      <c r="E28" t="inlineStr">
        <is>
          <t>Petrol</t>
        </is>
      </c>
      <c r="F28" s="10" t="n">
        <v>19101</v>
      </c>
    </row>
    <row r="29">
      <c r="A29" s="12" t="n">
        <v>45717</v>
      </c>
      <c r="B29" t="inlineStr">
        <is>
          <t>2025-03</t>
        </is>
      </c>
      <c r="C29" t="inlineStr">
        <is>
          <t>Sorin Ilie</t>
        </is>
      </c>
      <c r="D29" t="inlineStr">
        <is>
          <t>Dacia Sandero</t>
        </is>
      </c>
      <c r="E29" t="inlineStr">
        <is>
          <t>Hybrid</t>
        </is>
      </c>
      <c r="F29" s="10" t="n">
        <v>14990</v>
      </c>
    </row>
    <row r="30">
      <c r="A30" s="12" t="n">
        <v>45721</v>
      </c>
      <c r="B30" t="inlineStr">
        <is>
          <t>2025-03</t>
        </is>
      </c>
      <c r="C30" t="inlineStr">
        <is>
          <t>Sorin Ilie</t>
        </is>
      </c>
      <c r="D30" t="inlineStr">
        <is>
          <t>Dacia Duster</t>
        </is>
      </c>
      <c r="E30" t="inlineStr">
        <is>
          <t>Electric</t>
        </is>
      </c>
      <c r="F30" s="10" t="n">
        <v>22212</v>
      </c>
    </row>
    <row r="31">
      <c r="A31" s="12" t="n">
        <v>45729</v>
      </c>
      <c r="B31" t="inlineStr">
        <is>
          <t>2025-03</t>
        </is>
      </c>
      <c r="C31" t="inlineStr">
        <is>
          <t>Ioana Vlad</t>
        </is>
      </c>
      <c r="D31" t="inlineStr">
        <is>
          <t>Skoda Octavia</t>
        </is>
      </c>
      <c r="E31" t="inlineStr">
        <is>
          <t>Diesel</t>
        </is>
      </c>
      <c r="F31" s="10" t="n">
        <v>28098</v>
      </c>
    </row>
    <row r="32">
      <c r="A32" s="12" t="n">
        <v>45724</v>
      </c>
      <c r="B32" t="inlineStr">
        <is>
          <t>2025-03</t>
        </is>
      </c>
      <c r="C32" t="inlineStr">
        <is>
          <t>Ioana Vlad</t>
        </is>
      </c>
      <c r="D32" t="inlineStr">
        <is>
          <t>VW Golf</t>
        </is>
      </c>
      <c r="E32" t="inlineStr">
        <is>
          <t>Diesel</t>
        </is>
      </c>
      <c r="F32" s="10" t="n">
        <v>24546</v>
      </c>
    </row>
    <row r="33">
      <c r="A33" s="12" t="n">
        <v>45740</v>
      </c>
      <c r="B33" t="inlineStr">
        <is>
          <t>2025-03</t>
        </is>
      </c>
      <c r="C33" t="inlineStr">
        <is>
          <t>Ioana Vlad</t>
        </is>
      </c>
      <c r="D33" t="inlineStr">
        <is>
          <t>VW Golf</t>
        </is>
      </c>
      <c r="E33" t="inlineStr">
        <is>
          <t>Diesel</t>
        </is>
      </c>
      <c r="F33" s="10" t="n">
        <v>23298</v>
      </c>
    </row>
    <row r="34">
      <c r="A34" s="12" t="n">
        <v>45732</v>
      </c>
      <c r="B34" t="inlineStr">
        <is>
          <t>2025-03</t>
        </is>
      </c>
      <c r="C34" t="inlineStr">
        <is>
          <t>Alexandra Ene</t>
        </is>
      </c>
      <c r="D34" t="inlineStr">
        <is>
          <t>VW Golf</t>
        </is>
      </c>
      <c r="E34" t="inlineStr">
        <is>
          <t>Petrol</t>
        </is>
      </c>
      <c r="F34" s="10" t="n">
        <v>29226</v>
      </c>
    </row>
    <row r="35">
      <c r="A35" s="12" t="n">
        <v>45720</v>
      </c>
      <c r="B35" t="inlineStr">
        <is>
          <t>2025-03</t>
        </is>
      </c>
      <c r="C35" t="inlineStr">
        <is>
          <t>Andrei Munteanu</t>
        </is>
      </c>
      <c r="D35" t="inlineStr">
        <is>
          <t>Renault Clio</t>
        </is>
      </c>
      <c r="E35" t="inlineStr">
        <is>
          <t>Petrol</t>
        </is>
      </c>
      <c r="F35" s="10" t="n">
        <v>15850</v>
      </c>
    </row>
    <row r="36">
      <c r="A36" s="12" t="n">
        <v>45740</v>
      </c>
      <c r="B36" t="inlineStr">
        <is>
          <t>2025-03</t>
        </is>
      </c>
      <c r="C36" t="inlineStr">
        <is>
          <t>Cristian Dinu</t>
        </is>
      </c>
      <c r="D36" t="inlineStr">
        <is>
          <t>Skoda Octavia</t>
        </is>
      </c>
      <c r="E36" t="inlineStr">
        <is>
          <t>Electric</t>
        </is>
      </c>
      <c r="F36" s="10" t="n">
        <v>22953</v>
      </c>
    </row>
    <row r="37">
      <c r="A37" s="12" t="n">
        <v>45732</v>
      </c>
      <c r="B37" t="inlineStr">
        <is>
          <t>2025-03</t>
        </is>
      </c>
      <c r="C37" t="inlineStr">
        <is>
          <t>Alexandra Ene</t>
        </is>
      </c>
      <c r="D37" t="inlineStr">
        <is>
          <t>Dacia Duster</t>
        </is>
      </c>
      <c r="E37" t="inlineStr">
        <is>
          <t>Hybrid</t>
        </is>
      </c>
      <c r="F37" s="10" t="n">
        <v>23386</v>
      </c>
    </row>
    <row r="38">
      <c r="A38" s="12" t="n">
        <v>45750</v>
      </c>
      <c r="B38" t="inlineStr">
        <is>
          <t>2025-04</t>
        </is>
      </c>
      <c r="C38" t="inlineStr">
        <is>
          <t>Ioana Vlad</t>
        </is>
      </c>
      <c r="D38" t="inlineStr">
        <is>
          <t>Skoda Octavia</t>
        </is>
      </c>
      <c r="E38" t="inlineStr">
        <is>
          <t>Diesel</t>
        </is>
      </c>
      <c r="F38" s="10" t="n">
        <v>26901</v>
      </c>
    </row>
    <row r="39">
      <c r="A39" s="12" t="n">
        <v>45756</v>
      </c>
      <c r="B39" t="inlineStr">
        <is>
          <t>2025-04</t>
        </is>
      </c>
      <c r="C39" t="inlineStr">
        <is>
          <t>Alexandra Ene</t>
        </is>
      </c>
      <c r="D39" t="inlineStr">
        <is>
          <t>Dacia Sandero</t>
        </is>
      </c>
      <c r="E39" t="inlineStr">
        <is>
          <t>Diesel</t>
        </is>
      </c>
      <c r="F39" s="10" t="n">
        <v>13607</v>
      </c>
    </row>
    <row r="40">
      <c r="A40" s="12" t="n">
        <v>45756</v>
      </c>
      <c r="B40" t="inlineStr">
        <is>
          <t>2025-04</t>
        </is>
      </c>
      <c r="C40" t="inlineStr">
        <is>
          <t>Andrei Munteanu</t>
        </is>
      </c>
      <c r="D40" t="inlineStr">
        <is>
          <t>Dacia Sandero</t>
        </is>
      </c>
      <c r="E40" t="inlineStr">
        <is>
          <t>Electric</t>
        </is>
      </c>
      <c r="F40" s="10" t="n">
        <v>13566</v>
      </c>
    </row>
    <row r="41">
      <c r="A41" s="12" t="n">
        <v>45749</v>
      </c>
      <c r="B41" t="inlineStr">
        <is>
          <t>2025-04</t>
        </is>
      </c>
      <c r="C41" t="inlineStr">
        <is>
          <t>Ioana Vlad</t>
        </is>
      </c>
      <c r="D41" t="inlineStr">
        <is>
          <t>Renault Clio</t>
        </is>
      </c>
      <c r="E41" t="inlineStr">
        <is>
          <t>Diesel</t>
        </is>
      </c>
      <c r="F41" s="10" t="n">
        <v>15495</v>
      </c>
    </row>
    <row r="42">
      <c r="A42" s="12" t="n">
        <v>45766</v>
      </c>
      <c r="B42" t="inlineStr">
        <is>
          <t>2025-04</t>
        </is>
      </c>
      <c r="C42" t="inlineStr">
        <is>
          <t>Cristian Dinu</t>
        </is>
      </c>
      <c r="D42" t="inlineStr">
        <is>
          <t>Dacia Duster</t>
        </is>
      </c>
      <c r="E42" t="inlineStr">
        <is>
          <t>Diesel</t>
        </is>
      </c>
      <c r="F42" s="10" t="n">
        <v>22849</v>
      </c>
    </row>
    <row r="43">
      <c r="A43" s="12" t="n">
        <v>45762</v>
      </c>
      <c r="B43" t="inlineStr">
        <is>
          <t>2025-04</t>
        </is>
      </c>
      <c r="C43" t="inlineStr">
        <is>
          <t>Cristian Dinu</t>
        </is>
      </c>
      <c r="D43" t="inlineStr">
        <is>
          <t>Dacia Logan</t>
        </is>
      </c>
      <c r="E43" t="inlineStr">
        <is>
          <t>Hybrid</t>
        </is>
      </c>
      <c r="F43" s="10" t="n">
        <v>11566</v>
      </c>
    </row>
    <row r="44">
      <c r="A44" s="12" t="n">
        <v>45752</v>
      </c>
      <c r="B44" t="inlineStr">
        <is>
          <t>2025-04</t>
        </is>
      </c>
      <c r="C44" t="inlineStr">
        <is>
          <t>Sorin Ilie</t>
        </is>
      </c>
      <c r="D44" t="inlineStr">
        <is>
          <t>VW Golf</t>
        </is>
      </c>
      <c r="E44" t="inlineStr">
        <is>
          <t>Petrol</t>
        </is>
      </c>
      <c r="F44" s="10" t="n">
        <v>26787</v>
      </c>
    </row>
    <row r="45">
      <c r="A45" s="12" t="n">
        <v>45759</v>
      </c>
      <c r="B45" t="inlineStr">
        <is>
          <t>2025-04</t>
        </is>
      </c>
      <c r="C45" t="inlineStr">
        <is>
          <t>Alexandra Ene</t>
        </is>
      </c>
      <c r="D45" t="inlineStr">
        <is>
          <t>Dacia Logan</t>
        </is>
      </c>
      <c r="E45" t="inlineStr">
        <is>
          <t>Hybrid</t>
        </is>
      </c>
      <c r="F45" s="10" t="n">
        <v>14728</v>
      </c>
    </row>
    <row r="46">
      <c r="A46" s="12" t="n">
        <v>45768</v>
      </c>
      <c r="B46" t="inlineStr">
        <is>
          <t>2025-04</t>
        </is>
      </c>
      <c r="C46" t="inlineStr">
        <is>
          <t>Andrei Munteanu</t>
        </is>
      </c>
      <c r="D46" t="inlineStr">
        <is>
          <t>Dacia Logan</t>
        </is>
      </c>
      <c r="E46" t="inlineStr">
        <is>
          <t>Petrol</t>
        </is>
      </c>
      <c r="F46" s="10" t="n">
        <v>13450</v>
      </c>
    </row>
    <row r="47">
      <c r="A47" s="12" t="n">
        <v>45758</v>
      </c>
      <c r="B47" t="inlineStr">
        <is>
          <t>2025-04</t>
        </is>
      </c>
      <c r="C47" t="inlineStr">
        <is>
          <t>Andrei Munteanu</t>
        </is>
      </c>
      <c r="D47" t="inlineStr">
        <is>
          <t>Renault Clio</t>
        </is>
      </c>
      <c r="E47" t="inlineStr">
        <is>
          <t>Diesel</t>
        </is>
      </c>
      <c r="F47" s="10" t="n">
        <v>17548</v>
      </c>
    </row>
    <row r="48">
      <c r="A48" s="12" t="n">
        <v>45765</v>
      </c>
      <c r="B48" t="inlineStr">
        <is>
          <t>2025-04</t>
        </is>
      </c>
      <c r="C48" t="inlineStr">
        <is>
          <t>Andrei Munteanu</t>
        </is>
      </c>
      <c r="D48" t="inlineStr">
        <is>
          <t>Dacia Logan</t>
        </is>
      </c>
      <c r="E48" t="inlineStr">
        <is>
          <t>Hybrid</t>
        </is>
      </c>
      <c r="F48" s="10" t="n">
        <v>12855</v>
      </c>
    </row>
    <row r="49">
      <c r="A49" s="12" t="n">
        <v>45771</v>
      </c>
      <c r="B49" t="inlineStr">
        <is>
          <t>2025-04</t>
        </is>
      </c>
      <c r="C49" t="inlineStr">
        <is>
          <t>Andrei Munteanu</t>
        </is>
      </c>
      <c r="D49" t="inlineStr">
        <is>
          <t>VW Golf</t>
        </is>
      </c>
      <c r="E49" t="inlineStr">
        <is>
          <t>Diesel</t>
        </is>
      </c>
      <c r="F49" s="10" t="n">
        <v>29374</v>
      </c>
    </row>
    <row r="50">
      <c r="A50" s="12" t="n">
        <v>45799</v>
      </c>
      <c r="B50" t="inlineStr">
        <is>
          <t>2025-05</t>
        </is>
      </c>
      <c r="C50" t="inlineStr">
        <is>
          <t>Cristian Dinu</t>
        </is>
      </c>
      <c r="D50" t="inlineStr">
        <is>
          <t>Dacia Duster</t>
        </is>
      </c>
      <c r="E50" t="inlineStr">
        <is>
          <t>Electric</t>
        </is>
      </c>
      <c r="F50" s="10" t="n">
        <v>19195</v>
      </c>
    </row>
    <row r="51">
      <c r="A51" s="12" t="n">
        <v>45803</v>
      </c>
      <c r="B51" t="inlineStr">
        <is>
          <t>2025-05</t>
        </is>
      </c>
      <c r="C51" t="inlineStr">
        <is>
          <t>Alexandra Ene</t>
        </is>
      </c>
      <c r="D51" t="inlineStr">
        <is>
          <t>Dacia Logan</t>
        </is>
      </c>
      <c r="E51" t="inlineStr">
        <is>
          <t>Petrol</t>
        </is>
      </c>
      <c r="F51" s="10" t="n">
        <v>14867</v>
      </c>
    </row>
    <row r="52">
      <c r="A52" s="12" t="n">
        <v>45797</v>
      </c>
      <c r="B52" t="inlineStr">
        <is>
          <t>2025-05</t>
        </is>
      </c>
      <c r="C52" t="inlineStr">
        <is>
          <t>Sorin Ilie</t>
        </is>
      </c>
      <c r="D52" t="inlineStr">
        <is>
          <t>Renault Clio</t>
        </is>
      </c>
      <c r="E52" t="inlineStr">
        <is>
          <t>Electric</t>
        </is>
      </c>
      <c r="F52" s="10" t="n">
        <v>15119</v>
      </c>
    </row>
    <row r="53">
      <c r="A53" s="12" t="n">
        <v>45797</v>
      </c>
      <c r="B53" t="inlineStr">
        <is>
          <t>2025-05</t>
        </is>
      </c>
      <c r="C53" t="inlineStr">
        <is>
          <t>Sorin Ilie</t>
        </is>
      </c>
      <c r="D53" t="inlineStr">
        <is>
          <t>Renault Clio</t>
        </is>
      </c>
      <c r="E53" t="inlineStr">
        <is>
          <t>Petrol</t>
        </is>
      </c>
      <c r="F53" s="10" t="n">
        <v>15101</v>
      </c>
    </row>
    <row r="54">
      <c r="A54" s="12" t="n">
        <v>45781</v>
      </c>
      <c r="B54" t="inlineStr">
        <is>
          <t>2025-05</t>
        </is>
      </c>
      <c r="C54" t="inlineStr">
        <is>
          <t>Andrei Munteanu</t>
        </is>
      </c>
      <c r="D54" t="inlineStr">
        <is>
          <t>Dacia Logan</t>
        </is>
      </c>
      <c r="E54" t="inlineStr">
        <is>
          <t>Hybrid</t>
        </is>
      </c>
      <c r="F54" s="10" t="n">
        <v>13619</v>
      </c>
    </row>
    <row r="55">
      <c r="A55" s="12" t="n">
        <v>45801</v>
      </c>
      <c r="B55" t="inlineStr">
        <is>
          <t>2025-05</t>
        </is>
      </c>
      <c r="C55" t="inlineStr">
        <is>
          <t>Cristian Dinu</t>
        </is>
      </c>
      <c r="D55" t="inlineStr">
        <is>
          <t>Renault Clio</t>
        </is>
      </c>
      <c r="E55" t="inlineStr">
        <is>
          <t>Electric</t>
        </is>
      </c>
      <c r="F55" s="10" t="n">
        <v>18182</v>
      </c>
    </row>
    <row r="56">
      <c r="A56" s="12" t="n">
        <v>45780</v>
      </c>
      <c r="B56" t="inlineStr">
        <is>
          <t>2025-05</t>
        </is>
      </c>
      <c r="C56" t="inlineStr">
        <is>
          <t>Alexandra Ene</t>
        </is>
      </c>
      <c r="D56" t="inlineStr">
        <is>
          <t>Renault Clio</t>
        </is>
      </c>
      <c r="E56" t="inlineStr">
        <is>
          <t>Petrol</t>
        </is>
      </c>
      <c r="F56" s="10" t="n">
        <v>19433</v>
      </c>
    </row>
    <row r="57">
      <c r="A57" s="12" t="n">
        <v>45793</v>
      </c>
      <c r="B57" t="inlineStr">
        <is>
          <t>2025-05</t>
        </is>
      </c>
      <c r="C57" t="inlineStr">
        <is>
          <t>Sorin Ilie</t>
        </is>
      </c>
      <c r="D57" t="inlineStr">
        <is>
          <t>Dacia Duster</t>
        </is>
      </c>
      <c r="E57" t="inlineStr">
        <is>
          <t>Petrol</t>
        </is>
      </c>
      <c r="F57" s="10" t="n">
        <v>19218</v>
      </c>
    </row>
    <row r="58">
      <c r="A58" s="12" t="n">
        <v>45802</v>
      </c>
      <c r="B58" t="inlineStr">
        <is>
          <t>2025-05</t>
        </is>
      </c>
      <c r="C58" t="inlineStr">
        <is>
          <t>Andrei Munteanu</t>
        </is>
      </c>
      <c r="D58" t="inlineStr">
        <is>
          <t>Dacia Sandero</t>
        </is>
      </c>
      <c r="E58" t="inlineStr">
        <is>
          <t>Electric</t>
        </is>
      </c>
      <c r="F58" s="10" t="n">
        <v>17073</v>
      </c>
    </row>
    <row r="59">
      <c r="A59" s="12" t="n">
        <v>45787</v>
      </c>
      <c r="B59" t="inlineStr">
        <is>
          <t>2025-05</t>
        </is>
      </c>
      <c r="C59" t="inlineStr">
        <is>
          <t>Andrei Munteanu</t>
        </is>
      </c>
      <c r="D59" t="inlineStr">
        <is>
          <t>Dacia Duster</t>
        </is>
      </c>
      <c r="E59" t="inlineStr">
        <is>
          <t>Diesel</t>
        </is>
      </c>
      <c r="F59" s="10" t="n">
        <v>21514</v>
      </c>
    </row>
    <row r="60">
      <c r="A60" s="12" t="n">
        <v>45794</v>
      </c>
      <c r="B60" t="inlineStr">
        <is>
          <t>2025-05</t>
        </is>
      </c>
      <c r="C60" t="inlineStr">
        <is>
          <t>Sorin Ilie</t>
        </is>
      </c>
      <c r="D60" t="inlineStr">
        <is>
          <t>VW Golf</t>
        </is>
      </c>
      <c r="E60" t="inlineStr">
        <is>
          <t>Diesel</t>
        </is>
      </c>
      <c r="F60" s="10" t="n">
        <v>23659</v>
      </c>
    </row>
    <row r="61">
      <c r="A61" s="12" t="n">
        <v>45785</v>
      </c>
      <c r="B61" t="inlineStr">
        <is>
          <t>2025-05</t>
        </is>
      </c>
      <c r="C61" t="inlineStr">
        <is>
          <t>Alexandra Ene</t>
        </is>
      </c>
      <c r="D61" t="inlineStr">
        <is>
          <t>Dacia Duster</t>
        </is>
      </c>
      <c r="E61" t="inlineStr">
        <is>
          <t>Hybrid</t>
        </is>
      </c>
      <c r="F61" s="10" t="n">
        <v>22582</v>
      </c>
    </row>
    <row r="62">
      <c r="A62" s="12" t="n">
        <v>45829</v>
      </c>
      <c r="B62" t="inlineStr">
        <is>
          <t>2025-06</t>
        </is>
      </c>
      <c r="C62" t="inlineStr">
        <is>
          <t>Cristian Dinu</t>
        </is>
      </c>
      <c r="D62" t="inlineStr">
        <is>
          <t>Renault Clio</t>
        </is>
      </c>
      <c r="E62" t="inlineStr">
        <is>
          <t>Electric</t>
        </is>
      </c>
      <c r="F62" s="10" t="n">
        <v>16626</v>
      </c>
    </row>
    <row r="63">
      <c r="A63" s="12" t="n">
        <v>45816</v>
      </c>
      <c r="B63" t="inlineStr">
        <is>
          <t>2025-06</t>
        </is>
      </c>
      <c r="C63" t="inlineStr">
        <is>
          <t>Ioana Vlad</t>
        </is>
      </c>
      <c r="D63" t="inlineStr">
        <is>
          <t>Dacia Sandero</t>
        </is>
      </c>
      <c r="E63" t="inlineStr">
        <is>
          <t>Hybrid</t>
        </is>
      </c>
      <c r="F63" s="10" t="n">
        <v>16149</v>
      </c>
    </row>
    <row r="64">
      <c r="A64" s="12" t="n">
        <v>45824</v>
      </c>
      <c r="B64" t="inlineStr">
        <is>
          <t>2025-06</t>
        </is>
      </c>
      <c r="C64" t="inlineStr">
        <is>
          <t>Ioana Vlad</t>
        </is>
      </c>
      <c r="D64" t="inlineStr">
        <is>
          <t>Dacia Sandero</t>
        </is>
      </c>
      <c r="E64" t="inlineStr">
        <is>
          <t>Hybrid</t>
        </is>
      </c>
      <c r="F64" s="10" t="n">
        <v>14102</v>
      </c>
    </row>
    <row r="65">
      <c r="A65" s="12" t="n">
        <v>45817</v>
      </c>
      <c r="B65" t="inlineStr">
        <is>
          <t>2025-06</t>
        </is>
      </c>
      <c r="C65" t="inlineStr">
        <is>
          <t>Andrei Munteanu</t>
        </is>
      </c>
      <c r="D65" t="inlineStr">
        <is>
          <t>Dacia Logan</t>
        </is>
      </c>
      <c r="E65" t="inlineStr">
        <is>
          <t>Diesel</t>
        </is>
      </c>
      <c r="F65" s="10" t="n">
        <v>14891</v>
      </c>
    </row>
    <row r="66">
      <c r="A66" s="12" t="n">
        <v>45817</v>
      </c>
      <c r="B66" t="inlineStr">
        <is>
          <t>2025-06</t>
        </is>
      </c>
      <c r="C66" t="inlineStr">
        <is>
          <t>Alexandra Ene</t>
        </is>
      </c>
      <c r="D66" t="inlineStr">
        <is>
          <t>Dacia Logan</t>
        </is>
      </c>
      <c r="E66" t="inlineStr">
        <is>
          <t>Diesel</t>
        </is>
      </c>
      <c r="F66" s="10" t="n">
        <v>12930</v>
      </c>
    </row>
    <row r="67">
      <c r="A67" s="12" t="n">
        <v>45824</v>
      </c>
      <c r="B67" t="inlineStr">
        <is>
          <t>2025-06</t>
        </is>
      </c>
      <c r="C67" t="inlineStr">
        <is>
          <t>Alexandra Ene</t>
        </is>
      </c>
      <c r="D67" t="inlineStr">
        <is>
          <t>Renault Clio</t>
        </is>
      </c>
      <c r="E67" t="inlineStr">
        <is>
          <t>Hybrid</t>
        </is>
      </c>
      <c r="F67" s="10" t="n">
        <v>19259</v>
      </c>
    </row>
    <row r="68">
      <c r="A68" s="12" t="n">
        <v>45819</v>
      </c>
      <c r="B68" t="inlineStr">
        <is>
          <t>2025-06</t>
        </is>
      </c>
      <c r="C68" t="inlineStr">
        <is>
          <t>Sorin Ilie</t>
        </is>
      </c>
      <c r="D68" t="inlineStr">
        <is>
          <t>VW Golf</t>
        </is>
      </c>
      <c r="E68" t="inlineStr">
        <is>
          <t>Petrol</t>
        </is>
      </c>
      <c r="F68" s="10" t="n">
        <v>25706</v>
      </c>
    </row>
    <row r="69">
      <c r="A69" s="12" t="n">
        <v>45828</v>
      </c>
      <c r="B69" t="inlineStr">
        <is>
          <t>2025-06</t>
        </is>
      </c>
      <c r="C69" t="inlineStr">
        <is>
          <t>Cristian Dinu</t>
        </is>
      </c>
      <c r="D69" t="inlineStr">
        <is>
          <t>Dacia Logan</t>
        </is>
      </c>
      <c r="E69" t="inlineStr">
        <is>
          <t>Petrol</t>
        </is>
      </c>
      <c r="F69" s="10" t="n">
        <v>14575</v>
      </c>
    </row>
    <row r="70">
      <c r="A70" s="12" t="n">
        <v>45820</v>
      </c>
      <c r="B70" t="inlineStr">
        <is>
          <t>2025-06</t>
        </is>
      </c>
      <c r="C70" t="inlineStr">
        <is>
          <t>Cristian Dinu</t>
        </is>
      </c>
      <c r="D70" t="inlineStr">
        <is>
          <t>VW Golf</t>
        </is>
      </c>
      <c r="E70" t="inlineStr">
        <is>
          <t>Hybrid</t>
        </is>
      </c>
      <c r="F70" s="10" t="n">
        <v>26674</v>
      </c>
    </row>
    <row r="71">
      <c r="A71" s="12" t="n">
        <v>45829</v>
      </c>
      <c r="B71" t="inlineStr">
        <is>
          <t>2025-06</t>
        </is>
      </c>
      <c r="C71" t="inlineStr">
        <is>
          <t>Sorin Ilie</t>
        </is>
      </c>
      <c r="D71" t="inlineStr">
        <is>
          <t>VW Golf</t>
        </is>
      </c>
      <c r="E71" t="inlineStr">
        <is>
          <t>Diesel</t>
        </is>
      </c>
      <c r="F71" s="10" t="n">
        <v>22156</v>
      </c>
    </row>
    <row r="72">
      <c r="A72" s="12" t="n">
        <v>45809</v>
      </c>
      <c r="B72" t="inlineStr">
        <is>
          <t>2025-06</t>
        </is>
      </c>
      <c r="C72" t="inlineStr">
        <is>
          <t>Alexandra Ene</t>
        </is>
      </c>
      <c r="D72" t="inlineStr">
        <is>
          <t>Renault Clio</t>
        </is>
      </c>
      <c r="E72" t="inlineStr">
        <is>
          <t>Hybrid</t>
        </is>
      </c>
      <c r="F72" s="10" t="n">
        <v>16555</v>
      </c>
    </row>
    <row r="73">
      <c r="A73" s="12" t="n">
        <v>45829</v>
      </c>
      <c r="B73" t="inlineStr">
        <is>
          <t>2025-06</t>
        </is>
      </c>
      <c r="C73" t="inlineStr">
        <is>
          <t>Ioana Vlad</t>
        </is>
      </c>
      <c r="D73" t="inlineStr">
        <is>
          <t>Dacia Sandero</t>
        </is>
      </c>
      <c r="E73" t="inlineStr">
        <is>
          <t>Petrol</t>
        </is>
      </c>
      <c r="F73" s="10" t="n">
        <v>13384</v>
      </c>
    </row>
    <row r="74">
      <c r="A74" s="12" t="n">
        <v>45859</v>
      </c>
      <c r="B74" t="inlineStr">
        <is>
          <t>2025-07</t>
        </is>
      </c>
      <c r="C74" t="inlineStr">
        <is>
          <t>Andrei Munteanu</t>
        </is>
      </c>
      <c r="D74" t="inlineStr">
        <is>
          <t>Renault Clio</t>
        </is>
      </c>
      <c r="E74" t="inlineStr">
        <is>
          <t>Hybrid</t>
        </is>
      </c>
      <c r="F74" s="10" t="n">
        <v>19385</v>
      </c>
    </row>
    <row r="75">
      <c r="A75" s="12" t="n">
        <v>45865</v>
      </c>
      <c r="B75" t="inlineStr">
        <is>
          <t>2025-07</t>
        </is>
      </c>
      <c r="C75" t="inlineStr">
        <is>
          <t>Ioana Vlad</t>
        </is>
      </c>
      <c r="D75" t="inlineStr">
        <is>
          <t>Dacia Logan</t>
        </is>
      </c>
      <c r="E75" t="inlineStr">
        <is>
          <t>Electric</t>
        </is>
      </c>
      <c r="F75" s="10" t="n">
        <v>11816</v>
      </c>
    </row>
    <row r="76">
      <c r="A76" s="12" t="n">
        <v>45839</v>
      </c>
      <c r="B76" t="inlineStr">
        <is>
          <t>2025-07</t>
        </is>
      </c>
      <c r="C76" t="inlineStr">
        <is>
          <t>Ioana Vlad</t>
        </is>
      </c>
      <c r="D76" t="inlineStr">
        <is>
          <t>Dacia Duster</t>
        </is>
      </c>
      <c r="E76" t="inlineStr">
        <is>
          <t>Electric</t>
        </is>
      </c>
      <c r="F76" s="10" t="n">
        <v>24350</v>
      </c>
    </row>
    <row r="77">
      <c r="A77" s="12" t="n">
        <v>45846</v>
      </c>
      <c r="B77" t="inlineStr">
        <is>
          <t>2025-07</t>
        </is>
      </c>
      <c r="C77" t="inlineStr">
        <is>
          <t>Andrei Munteanu</t>
        </is>
      </c>
      <c r="D77" t="inlineStr">
        <is>
          <t>Skoda Octavia</t>
        </is>
      </c>
      <c r="E77" t="inlineStr">
        <is>
          <t>Hybrid</t>
        </is>
      </c>
      <c r="F77" s="10" t="n">
        <v>22467</v>
      </c>
    </row>
    <row r="78">
      <c r="A78" s="12" t="n">
        <v>45855</v>
      </c>
      <c r="B78" t="inlineStr">
        <is>
          <t>2025-07</t>
        </is>
      </c>
      <c r="C78" t="inlineStr">
        <is>
          <t>Sorin Ilie</t>
        </is>
      </c>
      <c r="D78" t="inlineStr">
        <is>
          <t>Dacia Duster</t>
        </is>
      </c>
      <c r="E78" t="inlineStr">
        <is>
          <t>Diesel</t>
        </is>
      </c>
      <c r="F78" s="10" t="n">
        <v>24212</v>
      </c>
    </row>
    <row r="79">
      <c r="A79" s="12" t="n">
        <v>45852</v>
      </c>
      <c r="B79" t="inlineStr">
        <is>
          <t>2025-07</t>
        </is>
      </c>
      <c r="C79" t="inlineStr">
        <is>
          <t>Ioana Vlad</t>
        </is>
      </c>
      <c r="D79" t="inlineStr">
        <is>
          <t>Renault Clio</t>
        </is>
      </c>
      <c r="E79" t="inlineStr">
        <is>
          <t>Electric</t>
        </is>
      </c>
      <c r="F79" s="10" t="n">
        <v>15714</v>
      </c>
    </row>
    <row r="80">
      <c r="A80" s="12" t="n">
        <v>45845</v>
      </c>
      <c r="B80" t="inlineStr">
        <is>
          <t>2025-07</t>
        </is>
      </c>
      <c r="C80" t="inlineStr">
        <is>
          <t>Alexandra Ene</t>
        </is>
      </c>
      <c r="D80" t="inlineStr">
        <is>
          <t>Dacia Sandero</t>
        </is>
      </c>
      <c r="E80" t="inlineStr">
        <is>
          <t>Petrol</t>
        </is>
      </c>
      <c r="F80" s="10" t="n">
        <v>16715</v>
      </c>
    </row>
    <row r="81">
      <c r="A81" s="12" t="n">
        <v>45859</v>
      </c>
      <c r="B81" t="inlineStr">
        <is>
          <t>2025-07</t>
        </is>
      </c>
      <c r="C81" t="inlineStr">
        <is>
          <t>Sorin Ilie</t>
        </is>
      </c>
      <c r="D81" t="inlineStr">
        <is>
          <t>Renault Clio</t>
        </is>
      </c>
      <c r="E81" t="inlineStr">
        <is>
          <t>Hybrid</t>
        </is>
      </c>
      <c r="F81" s="10" t="n">
        <v>19659</v>
      </c>
    </row>
    <row r="82">
      <c r="A82" s="12" t="n">
        <v>45842</v>
      </c>
      <c r="B82" t="inlineStr">
        <is>
          <t>2025-07</t>
        </is>
      </c>
      <c r="C82" t="inlineStr">
        <is>
          <t>Cristian Dinu</t>
        </is>
      </c>
      <c r="D82" t="inlineStr">
        <is>
          <t>Renault Clio</t>
        </is>
      </c>
      <c r="E82" t="inlineStr">
        <is>
          <t>Petrol</t>
        </is>
      </c>
      <c r="F82" s="10" t="n">
        <v>16678</v>
      </c>
    </row>
    <row r="83">
      <c r="A83" s="12" t="n">
        <v>45841</v>
      </c>
      <c r="B83" t="inlineStr">
        <is>
          <t>2025-07</t>
        </is>
      </c>
      <c r="C83" t="inlineStr">
        <is>
          <t>Ioana Vlad</t>
        </is>
      </c>
      <c r="D83" t="inlineStr">
        <is>
          <t>Dacia Sandero</t>
        </is>
      </c>
      <c r="E83" t="inlineStr">
        <is>
          <t>Hybrid</t>
        </is>
      </c>
      <c r="F83" s="10" t="n">
        <v>16196</v>
      </c>
    </row>
    <row r="84">
      <c r="A84" s="12" t="n">
        <v>45861</v>
      </c>
      <c r="B84" t="inlineStr">
        <is>
          <t>2025-07</t>
        </is>
      </c>
      <c r="C84" t="inlineStr">
        <is>
          <t>Cristian Dinu</t>
        </is>
      </c>
      <c r="D84" t="inlineStr">
        <is>
          <t>Skoda Octavia</t>
        </is>
      </c>
      <c r="E84" t="inlineStr">
        <is>
          <t>Petrol</t>
        </is>
      </c>
      <c r="F84" s="10" t="n">
        <v>23145</v>
      </c>
    </row>
    <row r="85">
      <c r="A85" s="12" t="n">
        <v>45840</v>
      </c>
      <c r="B85" t="inlineStr">
        <is>
          <t>2025-07</t>
        </is>
      </c>
      <c r="C85" t="inlineStr">
        <is>
          <t>Sorin Ilie</t>
        </is>
      </c>
      <c r="D85" t="inlineStr">
        <is>
          <t>Dacia Duster</t>
        </is>
      </c>
      <c r="E85" t="inlineStr">
        <is>
          <t>Electric</t>
        </is>
      </c>
      <c r="F85" s="10" t="n">
        <v>19178</v>
      </c>
    </row>
    <row r="86">
      <c r="A86" s="12" t="n">
        <v>45894</v>
      </c>
      <c r="B86" t="inlineStr">
        <is>
          <t>2025-08</t>
        </is>
      </c>
      <c r="C86" t="inlineStr">
        <is>
          <t>Sorin Ilie</t>
        </is>
      </c>
      <c r="D86" t="inlineStr">
        <is>
          <t>Dacia Duster</t>
        </is>
      </c>
      <c r="E86" t="inlineStr">
        <is>
          <t>Hybrid</t>
        </is>
      </c>
      <c r="F86" s="10" t="n">
        <v>21952</v>
      </c>
    </row>
    <row r="87">
      <c r="A87" s="12" t="n">
        <v>45895</v>
      </c>
      <c r="B87" t="inlineStr">
        <is>
          <t>2025-08</t>
        </is>
      </c>
      <c r="C87" t="inlineStr">
        <is>
          <t>Andrei Munteanu</t>
        </is>
      </c>
      <c r="D87" t="inlineStr">
        <is>
          <t>Renault Clio</t>
        </is>
      </c>
      <c r="E87" t="inlineStr">
        <is>
          <t>Petrol</t>
        </is>
      </c>
      <c r="F87" s="10" t="n">
        <v>16788</v>
      </c>
    </row>
    <row r="88">
      <c r="A88" s="12" t="n">
        <v>45887</v>
      </c>
      <c r="B88" t="inlineStr">
        <is>
          <t>2025-08</t>
        </is>
      </c>
      <c r="C88" t="inlineStr">
        <is>
          <t>Andrei Munteanu</t>
        </is>
      </c>
      <c r="D88" t="inlineStr">
        <is>
          <t>Renault Clio</t>
        </is>
      </c>
      <c r="E88" t="inlineStr">
        <is>
          <t>Hybrid</t>
        </is>
      </c>
      <c r="F88" s="10" t="n">
        <v>16416</v>
      </c>
    </row>
    <row r="89">
      <c r="A89" s="12" t="n">
        <v>45874</v>
      </c>
      <c r="B89" t="inlineStr">
        <is>
          <t>2025-08</t>
        </is>
      </c>
      <c r="C89" t="inlineStr">
        <is>
          <t>Ioana Vlad</t>
        </is>
      </c>
      <c r="D89" t="inlineStr">
        <is>
          <t>VW Golf</t>
        </is>
      </c>
      <c r="E89" t="inlineStr">
        <is>
          <t>Electric</t>
        </is>
      </c>
      <c r="F89" s="10" t="n">
        <v>25854</v>
      </c>
    </row>
    <row r="90">
      <c r="A90" s="12" t="n">
        <v>45894</v>
      </c>
      <c r="B90" t="inlineStr">
        <is>
          <t>2025-08</t>
        </is>
      </c>
      <c r="C90" t="inlineStr">
        <is>
          <t>Sorin Ilie</t>
        </is>
      </c>
      <c r="D90" t="inlineStr">
        <is>
          <t>Renault Clio</t>
        </is>
      </c>
      <c r="E90" t="inlineStr">
        <is>
          <t>Diesel</t>
        </is>
      </c>
      <c r="F90" s="10" t="n">
        <v>15704</v>
      </c>
    </row>
    <row r="91">
      <c r="A91" s="12" t="n">
        <v>45879</v>
      </c>
      <c r="B91" t="inlineStr">
        <is>
          <t>2025-08</t>
        </is>
      </c>
      <c r="C91" t="inlineStr">
        <is>
          <t>Sorin Ilie</t>
        </is>
      </c>
      <c r="D91" t="inlineStr">
        <is>
          <t>Renault Clio</t>
        </is>
      </c>
      <c r="E91" t="inlineStr">
        <is>
          <t>Diesel</t>
        </is>
      </c>
      <c r="F91" s="10" t="n">
        <v>19577</v>
      </c>
    </row>
    <row r="92">
      <c r="A92" s="12" t="n">
        <v>45887</v>
      </c>
      <c r="B92" t="inlineStr">
        <is>
          <t>2025-08</t>
        </is>
      </c>
      <c r="C92" t="inlineStr">
        <is>
          <t>Sorin Ilie</t>
        </is>
      </c>
      <c r="D92" t="inlineStr">
        <is>
          <t>Skoda Octavia</t>
        </is>
      </c>
      <c r="E92" t="inlineStr">
        <is>
          <t>Hybrid</t>
        </is>
      </c>
      <c r="F92" s="10" t="n">
        <v>27910</v>
      </c>
    </row>
    <row r="93">
      <c r="A93" s="12" t="n">
        <v>45876</v>
      </c>
      <c r="B93" t="inlineStr">
        <is>
          <t>2025-08</t>
        </is>
      </c>
      <c r="C93" t="inlineStr">
        <is>
          <t>Alexandra Ene</t>
        </is>
      </c>
      <c r="D93" t="inlineStr">
        <is>
          <t>Dacia Duster</t>
        </is>
      </c>
      <c r="E93" t="inlineStr">
        <is>
          <t>Hybrid</t>
        </is>
      </c>
      <c r="F93" s="10" t="n">
        <v>23492</v>
      </c>
    </row>
    <row r="94">
      <c r="A94" s="12" t="n">
        <v>45878</v>
      </c>
      <c r="B94" t="inlineStr">
        <is>
          <t>2025-08</t>
        </is>
      </c>
      <c r="C94" t="inlineStr">
        <is>
          <t>Sorin Ilie</t>
        </is>
      </c>
      <c r="D94" t="inlineStr">
        <is>
          <t>Dacia Sandero</t>
        </is>
      </c>
      <c r="E94" t="inlineStr">
        <is>
          <t>Electric</t>
        </is>
      </c>
      <c r="F94" s="10" t="n">
        <v>17294</v>
      </c>
    </row>
    <row r="95">
      <c r="A95" s="12" t="n">
        <v>45873</v>
      </c>
      <c r="B95" t="inlineStr">
        <is>
          <t>2025-08</t>
        </is>
      </c>
      <c r="C95" t="inlineStr">
        <is>
          <t>Alexandra Ene</t>
        </is>
      </c>
      <c r="D95" t="inlineStr">
        <is>
          <t>Dacia Sandero</t>
        </is>
      </c>
      <c r="E95" t="inlineStr">
        <is>
          <t>Petrol</t>
        </is>
      </c>
      <c r="F95" s="10" t="n">
        <v>17390</v>
      </c>
    </row>
    <row r="96">
      <c r="A96" s="12" t="n">
        <v>45887</v>
      </c>
      <c r="B96" t="inlineStr">
        <is>
          <t>2025-08</t>
        </is>
      </c>
      <c r="C96" t="inlineStr">
        <is>
          <t>Alexandra Ene</t>
        </is>
      </c>
      <c r="D96" t="inlineStr">
        <is>
          <t>Skoda Octavia</t>
        </is>
      </c>
      <c r="E96" t="inlineStr">
        <is>
          <t>Petrol</t>
        </is>
      </c>
      <c r="F96" s="10" t="n">
        <v>21227</v>
      </c>
    </row>
    <row r="97">
      <c r="A97" s="12" t="n">
        <v>45895</v>
      </c>
      <c r="B97" t="inlineStr">
        <is>
          <t>2025-08</t>
        </is>
      </c>
      <c r="C97" t="inlineStr">
        <is>
          <t>Alexandra Ene</t>
        </is>
      </c>
      <c r="D97" t="inlineStr">
        <is>
          <t>Skoda Octavia</t>
        </is>
      </c>
      <c r="E97" t="inlineStr">
        <is>
          <t>Petrol</t>
        </is>
      </c>
      <c r="F97" s="10" t="n">
        <v>25456</v>
      </c>
    </row>
    <row r="98">
      <c r="A98" s="12" t="n">
        <v>45903</v>
      </c>
      <c r="B98" t="inlineStr">
        <is>
          <t>2025-09</t>
        </is>
      </c>
      <c r="C98" t="inlineStr">
        <is>
          <t>Andrei Munteanu</t>
        </is>
      </c>
      <c r="D98" t="inlineStr">
        <is>
          <t>Renault Clio</t>
        </is>
      </c>
      <c r="E98" t="inlineStr">
        <is>
          <t>Electric</t>
        </is>
      </c>
      <c r="F98" s="10" t="n">
        <v>16366</v>
      </c>
    </row>
    <row r="99">
      <c r="A99" s="12" t="n">
        <v>45908</v>
      </c>
      <c r="B99" t="inlineStr">
        <is>
          <t>2025-09</t>
        </is>
      </c>
      <c r="C99" t="inlineStr">
        <is>
          <t>Alexandra Ene</t>
        </is>
      </c>
      <c r="D99" t="inlineStr">
        <is>
          <t>Renault Clio</t>
        </is>
      </c>
      <c r="E99" t="inlineStr">
        <is>
          <t>Electric</t>
        </is>
      </c>
      <c r="F99" s="10" t="n">
        <v>17205</v>
      </c>
    </row>
    <row r="100">
      <c r="A100" s="12" t="n">
        <v>45914</v>
      </c>
      <c r="B100" t="inlineStr">
        <is>
          <t>2025-09</t>
        </is>
      </c>
      <c r="C100" t="inlineStr">
        <is>
          <t>Ioana Vlad</t>
        </is>
      </c>
      <c r="D100" t="inlineStr">
        <is>
          <t>Renault Clio</t>
        </is>
      </c>
      <c r="E100" t="inlineStr">
        <is>
          <t>Electric</t>
        </is>
      </c>
      <c r="F100" s="10" t="n">
        <v>17782</v>
      </c>
    </row>
    <row r="101">
      <c r="A101" s="12" t="n">
        <v>45907</v>
      </c>
      <c r="B101" t="inlineStr">
        <is>
          <t>2025-09</t>
        </is>
      </c>
      <c r="C101" t="inlineStr">
        <is>
          <t>Cristian Dinu</t>
        </is>
      </c>
      <c r="D101" t="inlineStr">
        <is>
          <t>Skoda Octavia</t>
        </is>
      </c>
      <c r="E101" t="inlineStr">
        <is>
          <t>Electric</t>
        </is>
      </c>
      <c r="F101" s="10" t="n">
        <v>21889</v>
      </c>
    </row>
    <row r="102">
      <c r="A102" s="12" t="n">
        <v>45905</v>
      </c>
      <c r="B102" t="inlineStr">
        <is>
          <t>2025-09</t>
        </is>
      </c>
      <c r="C102" t="inlineStr">
        <is>
          <t>Andrei Munteanu</t>
        </is>
      </c>
      <c r="D102" t="inlineStr">
        <is>
          <t>Skoda Octavia</t>
        </is>
      </c>
      <c r="E102" t="inlineStr">
        <is>
          <t>Petrol</t>
        </is>
      </c>
      <c r="F102" s="10" t="n">
        <v>23131</v>
      </c>
    </row>
    <row r="103">
      <c r="A103" s="12" t="n">
        <v>45908</v>
      </c>
      <c r="B103" t="inlineStr">
        <is>
          <t>2025-09</t>
        </is>
      </c>
      <c r="C103" t="inlineStr">
        <is>
          <t>Ioana Vlad</t>
        </is>
      </c>
      <c r="D103" t="inlineStr">
        <is>
          <t>Dacia Logan</t>
        </is>
      </c>
      <c r="E103" t="inlineStr">
        <is>
          <t>Petrol</t>
        </is>
      </c>
      <c r="F103" s="10" t="n">
        <v>11637</v>
      </c>
    </row>
    <row r="104">
      <c r="A104" s="12" t="n">
        <v>45924</v>
      </c>
      <c r="B104" t="inlineStr">
        <is>
          <t>2025-09</t>
        </is>
      </c>
      <c r="C104" t="inlineStr">
        <is>
          <t>Cristian Dinu</t>
        </is>
      </c>
      <c r="D104" t="inlineStr">
        <is>
          <t>VW Golf</t>
        </is>
      </c>
      <c r="E104" t="inlineStr">
        <is>
          <t>Hybrid</t>
        </is>
      </c>
      <c r="F104" s="10" t="n">
        <v>24638</v>
      </c>
    </row>
    <row r="105">
      <c r="A105" s="12" t="n">
        <v>45904</v>
      </c>
      <c r="B105" t="inlineStr">
        <is>
          <t>2025-09</t>
        </is>
      </c>
      <c r="C105" t="inlineStr">
        <is>
          <t>Sorin Ilie</t>
        </is>
      </c>
      <c r="D105" t="inlineStr">
        <is>
          <t>Dacia Sandero</t>
        </is>
      </c>
      <c r="E105" t="inlineStr">
        <is>
          <t>Electric</t>
        </is>
      </c>
      <c r="F105" s="10" t="n">
        <v>17086</v>
      </c>
    </row>
    <row r="106">
      <c r="A106" s="12" t="n">
        <v>45928</v>
      </c>
      <c r="B106" t="inlineStr">
        <is>
          <t>2025-09</t>
        </is>
      </c>
      <c r="C106" t="inlineStr">
        <is>
          <t>Sorin Ilie</t>
        </is>
      </c>
      <c r="D106" t="inlineStr">
        <is>
          <t>VW Golf</t>
        </is>
      </c>
      <c r="E106" t="inlineStr">
        <is>
          <t>Hybrid</t>
        </is>
      </c>
      <c r="F106" s="10" t="n">
        <v>23005</v>
      </c>
    </row>
    <row r="107">
      <c r="A107" s="12" t="n">
        <v>45917</v>
      </c>
      <c r="B107" t="inlineStr">
        <is>
          <t>2025-09</t>
        </is>
      </c>
      <c r="C107" t="inlineStr">
        <is>
          <t>Ioana Vlad</t>
        </is>
      </c>
      <c r="D107" t="inlineStr">
        <is>
          <t>VW Golf</t>
        </is>
      </c>
      <c r="E107" t="inlineStr">
        <is>
          <t>Electric</t>
        </is>
      </c>
      <c r="F107" s="10" t="n">
        <v>27745</v>
      </c>
    </row>
    <row r="108">
      <c r="A108" s="12" t="n">
        <v>45914</v>
      </c>
      <c r="B108" t="inlineStr">
        <is>
          <t>2025-09</t>
        </is>
      </c>
      <c r="C108" t="inlineStr">
        <is>
          <t>Alexandra Ene</t>
        </is>
      </c>
      <c r="D108" t="inlineStr">
        <is>
          <t>Dacia Logan</t>
        </is>
      </c>
      <c r="E108" t="inlineStr">
        <is>
          <t>Diesel</t>
        </is>
      </c>
      <c r="F108" s="10" t="n">
        <v>13592</v>
      </c>
    </row>
    <row r="109">
      <c r="A109" s="12" t="n">
        <v>45921</v>
      </c>
      <c r="B109" t="inlineStr">
        <is>
          <t>2025-09</t>
        </is>
      </c>
      <c r="C109" t="inlineStr">
        <is>
          <t>Ioana Vlad</t>
        </is>
      </c>
      <c r="D109" t="inlineStr">
        <is>
          <t>Skoda Octavia</t>
        </is>
      </c>
      <c r="E109" t="inlineStr">
        <is>
          <t>Diesel</t>
        </is>
      </c>
      <c r="F109" s="10" t="n">
        <v>28076</v>
      </c>
    </row>
    <row r="110">
      <c r="A110" s="12" t="n">
        <v>45948</v>
      </c>
      <c r="B110" t="inlineStr">
        <is>
          <t>2025-10</t>
        </is>
      </c>
      <c r="C110" t="inlineStr">
        <is>
          <t>Ioana Vlad</t>
        </is>
      </c>
      <c r="D110" t="inlineStr">
        <is>
          <t>Skoda Octavia</t>
        </is>
      </c>
      <c r="E110" t="inlineStr">
        <is>
          <t>Diesel</t>
        </is>
      </c>
      <c r="F110" s="10" t="n">
        <v>27973</v>
      </c>
    </row>
    <row r="111">
      <c r="A111" s="12" t="n">
        <v>45941</v>
      </c>
      <c r="B111" t="inlineStr">
        <is>
          <t>2025-10</t>
        </is>
      </c>
      <c r="C111" t="inlineStr">
        <is>
          <t>Cristian Dinu</t>
        </is>
      </c>
      <c r="D111" t="inlineStr">
        <is>
          <t>Dacia Sandero</t>
        </is>
      </c>
      <c r="E111" t="inlineStr">
        <is>
          <t>Hybrid</t>
        </is>
      </c>
      <c r="F111" s="10" t="n">
        <v>14483</v>
      </c>
    </row>
    <row r="112">
      <c r="A112" s="12" t="n">
        <v>45934</v>
      </c>
      <c r="B112" t="inlineStr">
        <is>
          <t>2025-10</t>
        </is>
      </c>
      <c r="C112" t="inlineStr">
        <is>
          <t>Ioana Vlad</t>
        </is>
      </c>
      <c r="D112" t="inlineStr">
        <is>
          <t>Dacia Sandero</t>
        </is>
      </c>
      <c r="E112" t="inlineStr">
        <is>
          <t>Diesel</t>
        </is>
      </c>
      <c r="F112" s="10" t="n">
        <v>14593</v>
      </c>
    </row>
    <row r="113">
      <c r="A113" s="12" t="n">
        <v>45939</v>
      </c>
      <c r="B113" t="inlineStr">
        <is>
          <t>2025-10</t>
        </is>
      </c>
      <c r="C113" t="inlineStr">
        <is>
          <t>Ioana Vlad</t>
        </is>
      </c>
      <c r="D113" t="inlineStr">
        <is>
          <t>Dacia Sandero</t>
        </is>
      </c>
      <c r="E113" t="inlineStr">
        <is>
          <t>Electric</t>
        </is>
      </c>
      <c r="F113" s="10" t="n">
        <v>13722</v>
      </c>
    </row>
    <row r="114">
      <c r="A114" s="12" t="n">
        <v>45944</v>
      </c>
      <c r="B114" t="inlineStr">
        <is>
          <t>2025-10</t>
        </is>
      </c>
      <c r="C114" t="inlineStr">
        <is>
          <t>Alexandra Ene</t>
        </is>
      </c>
      <c r="D114" t="inlineStr">
        <is>
          <t>Dacia Logan</t>
        </is>
      </c>
      <c r="E114" t="inlineStr">
        <is>
          <t>Diesel</t>
        </is>
      </c>
      <c r="F114" s="10" t="n">
        <v>14408</v>
      </c>
    </row>
    <row r="115">
      <c r="A115" s="12" t="n">
        <v>45934</v>
      </c>
      <c r="B115" t="inlineStr">
        <is>
          <t>2025-10</t>
        </is>
      </c>
      <c r="C115" t="inlineStr">
        <is>
          <t>Alexandra Ene</t>
        </is>
      </c>
      <c r="D115" t="inlineStr">
        <is>
          <t>Dacia Sandero</t>
        </is>
      </c>
      <c r="E115" t="inlineStr">
        <is>
          <t>Diesel</t>
        </is>
      </c>
      <c r="F115" s="10" t="n">
        <v>13145</v>
      </c>
    </row>
    <row r="116">
      <c r="A116" s="12" t="n">
        <v>45957</v>
      </c>
      <c r="B116" t="inlineStr">
        <is>
          <t>2025-10</t>
        </is>
      </c>
      <c r="C116" t="inlineStr">
        <is>
          <t>Cristian Dinu</t>
        </is>
      </c>
      <c r="D116" t="inlineStr">
        <is>
          <t>Skoda Octavia</t>
        </is>
      </c>
      <c r="E116" t="inlineStr">
        <is>
          <t>Hybrid</t>
        </is>
      </c>
      <c r="F116" s="10" t="n">
        <v>28465</v>
      </c>
    </row>
    <row r="117">
      <c r="A117" s="12" t="n">
        <v>45955</v>
      </c>
      <c r="B117" t="inlineStr">
        <is>
          <t>2025-10</t>
        </is>
      </c>
      <c r="C117" t="inlineStr">
        <is>
          <t>Sorin Ilie</t>
        </is>
      </c>
      <c r="D117" t="inlineStr">
        <is>
          <t>Dacia Logan</t>
        </is>
      </c>
      <c r="E117" t="inlineStr">
        <is>
          <t>Hybrid</t>
        </is>
      </c>
      <c r="F117" s="10" t="n">
        <v>13599</v>
      </c>
    </row>
    <row r="118">
      <c r="A118" s="12" t="n">
        <v>45933</v>
      </c>
      <c r="B118" t="inlineStr">
        <is>
          <t>2025-10</t>
        </is>
      </c>
      <c r="C118" t="inlineStr">
        <is>
          <t>Ioana Vlad</t>
        </is>
      </c>
      <c r="D118" t="inlineStr">
        <is>
          <t>Skoda Octavia</t>
        </is>
      </c>
      <c r="E118" t="inlineStr">
        <is>
          <t>Electric</t>
        </is>
      </c>
      <c r="F118" s="10" t="n">
        <v>27576</v>
      </c>
    </row>
    <row r="119">
      <c r="A119" s="12" t="n">
        <v>45955</v>
      </c>
      <c r="B119" t="inlineStr">
        <is>
          <t>2025-10</t>
        </is>
      </c>
      <c r="C119" t="inlineStr">
        <is>
          <t>Andrei Munteanu</t>
        </is>
      </c>
      <c r="D119" t="inlineStr">
        <is>
          <t>Dacia Logan</t>
        </is>
      </c>
      <c r="E119" t="inlineStr">
        <is>
          <t>Electric</t>
        </is>
      </c>
      <c r="F119" s="10" t="n">
        <v>11153</v>
      </c>
    </row>
    <row r="120">
      <c r="A120" s="12" t="n">
        <v>45934</v>
      </c>
      <c r="B120" t="inlineStr">
        <is>
          <t>2025-10</t>
        </is>
      </c>
      <c r="C120" t="inlineStr">
        <is>
          <t>Ioana Vlad</t>
        </is>
      </c>
      <c r="D120" t="inlineStr">
        <is>
          <t>Dacia Sandero</t>
        </is>
      </c>
      <c r="E120" t="inlineStr">
        <is>
          <t>Diesel</t>
        </is>
      </c>
      <c r="F120" s="10" t="n">
        <v>14511</v>
      </c>
    </row>
    <row r="121">
      <c r="A121" s="12" t="n">
        <v>45952</v>
      </c>
      <c r="B121" t="inlineStr">
        <is>
          <t>2025-10</t>
        </is>
      </c>
      <c r="C121" t="inlineStr">
        <is>
          <t>Ioana Vlad</t>
        </is>
      </c>
      <c r="D121" t="inlineStr">
        <is>
          <t>Dacia Sandero</t>
        </is>
      </c>
      <c r="E121" t="inlineStr">
        <is>
          <t>Petrol</t>
        </is>
      </c>
      <c r="F121" s="10" t="n">
        <v>15319</v>
      </c>
    </row>
    <row r="122">
      <c r="A122" s="12" t="n">
        <v>45983</v>
      </c>
      <c r="B122" t="inlineStr">
        <is>
          <t>2025-11</t>
        </is>
      </c>
      <c r="C122" t="inlineStr">
        <is>
          <t>Andrei Munteanu</t>
        </is>
      </c>
      <c r="D122" t="inlineStr">
        <is>
          <t>Skoda Octavia</t>
        </is>
      </c>
      <c r="E122" t="inlineStr">
        <is>
          <t>Electric</t>
        </is>
      </c>
      <c r="F122" s="10" t="n">
        <v>22101</v>
      </c>
    </row>
    <row r="123">
      <c r="A123" s="12" t="n">
        <v>45974</v>
      </c>
      <c r="B123" t="inlineStr">
        <is>
          <t>2025-11</t>
        </is>
      </c>
      <c r="C123" t="inlineStr">
        <is>
          <t>Andrei Munteanu</t>
        </is>
      </c>
      <c r="D123" t="inlineStr">
        <is>
          <t>Dacia Logan</t>
        </is>
      </c>
      <c r="E123" t="inlineStr">
        <is>
          <t>Electric</t>
        </is>
      </c>
      <c r="F123" s="10" t="n">
        <v>12338</v>
      </c>
    </row>
    <row r="124">
      <c r="A124" s="12" t="n">
        <v>45975</v>
      </c>
      <c r="B124" t="inlineStr">
        <is>
          <t>2025-11</t>
        </is>
      </c>
      <c r="C124" t="inlineStr">
        <is>
          <t>Sorin Ilie</t>
        </is>
      </c>
      <c r="D124" t="inlineStr">
        <is>
          <t>Renault Clio</t>
        </is>
      </c>
      <c r="E124" t="inlineStr">
        <is>
          <t>Diesel</t>
        </is>
      </c>
      <c r="F124" s="10" t="n">
        <v>17904</v>
      </c>
    </row>
    <row r="125">
      <c r="A125" s="12" t="n">
        <v>45982</v>
      </c>
      <c r="B125" t="inlineStr">
        <is>
          <t>2025-11</t>
        </is>
      </c>
      <c r="C125" t="inlineStr">
        <is>
          <t>Cristian Dinu</t>
        </is>
      </c>
      <c r="D125" t="inlineStr">
        <is>
          <t>Skoda Octavia</t>
        </is>
      </c>
      <c r="E125" t="inlineStr">
        <is>
          <t>Petrol</t>
        </is>
      </c>
      <c r="F125" s="10" t="n">
        <v>21108</v>
      </c>
    </row>
    <row r="126">
      <c r="A126" s="12" t="n">
        <v>45976</v>
      </c>
      <c r="B126" t="inlineStr">
        <is>
          <t>2025-11</t>
        </is>
      </c>
      <c r="C126" t="inlineStr">
        <is>
          <t>Ioana Vlad</t>
        </is>
      </c>
      <c r="D126" t="inlineStr">
        <is>
          <t>Dacia Sandero</t>
        </is>
      </c>
      <c r="E126" t="inlineStr">
        <is>
          <t>Hybrid</t>
        </is>
      </c>
      <c r="F126" s="10" t="n">
        <v>16341</v>
      </c>
    </row>
    <row r="127">
      <c r="A127" s="12" t="n">
        <v>45968</v>
      </c>
      <c r="B127" t="inlineStr">
        <is>
          <t>2025-11</t>
        </is>
      </c>
      <c r="C127" t="inlineStr">
        <is>
          <t>Cristian Dinu</t>
        </is>
      </c>
      <c r="D127" t="inlineStr">
        <is>
          <t>VW Golf</t>
        </is>
      </c>
      <c r="E127" t="inlineStr">
        <is>
          <t>Diesel</t>
        </is>
      </c>
      <c r="F127" s="10" t="n">
        <v>25320</v>
      </c>
    </row>
    <row r="128">
      <c r="A128" s="12" t="n">
        <v>45962</v>
      </c>
      <c r="B128" t="inlineStr">
        <is>
          <t>2025-11</t>
        </is>
      </c>
      <c r="C128" t="inlineStr">
        <is>
          <t>Sorin Ilie</t>
        </is>
      </c>
      <c r="D128" t="inlineStr">
        <is>
          <t>Dacia Logan</t>
        </is>
      </c>
      <c r="E128" t="inlineStr">
        <is>
          <t>Hybrid</t>
        </is>
      </c>
      <c r="F128" s="10" t="n">
        <v>14245</v>
      </c>
    </row>
    <row r="129">
      <c r="A129" s="12" t="n">
        <v>45981</v>
      </c>
      <c r="B129" t="inlineStr">
        <is>
          <t>2025-11</t>
        </is>
      </c>
      <c r="C129" t="inlineStr">
        <is>
          <t>Alexandra Ene</t>
        </is>
      </c>
      <c r="D129" t="inlineStr">
        <is>
          <t>Dacia Logan</t>
        </is>
      </c>
      <c r="E129" t="inlineStr">
        <is>
          <t>Diesel</t>
        </is>
      </c>
      <c r="F129" s="10" t="n">
        <v>13333</v>
      </c>
    </row>
    <row r="130">
      <c r="A130" s="12" t="n">
        <v>45987</v>
      </c>
      <c r="B130" t="inlineStr">
        <is>
          <t>2025-11</t>
        </is>
      </c>
      <c r="C130" t="inlineStr">
        <is>
          <t>Sorin Ilie</t>
        </is>
      </c>
      <c r="D130" t="inlineStr">
        <is>
          <t>Skoda Octavia</t>
        </is>
      </c>
      <c r="E130" t="inlineStr">
        <is>
          <t>Hybrid</t>
        </is>
      </c>
      <c r="F130" s="10" t="n">
        <v>23793</v>
      </c>
    </row>
    <row r="131">
      <c r="A131" s="12" t="n">
        <v>45988</v>
      </c>
      <c r="B131" t="inlineStr">
        <is>
          <t>2025-11</t>
        </is>
      </c>
      <c r="C131" t="inlineStr">
        <is>
          <t>Andrei Munteanu</t>
        </is>
      </c>
      <c r="D131" t="inlineStr">
        <is>
          <t>Dacia Duster</t>
        </is>
      </c>
      <c r="E131" t="inlineStr">
        <is>
          <t>Electric</t>
        </is>
      </c>
      <c r="F131" s="10" t="n">
        <v>19811</v>
      </c>
    </row>
    <row r="132">
      <c r="A132" s="12" t="n">
        <v>45984</v>
      </c>
      <c r="B132" t="inlineStr">
        <is>
          <t>2025-11</t>
        </is>
      </c>
      <c r="C132" t="inlineStr">
        <is>
          <t>Cristian Dinu</t>
        </is>
      </c>
      <c r="D132" t="inlineStr">
        <is>
          <t>Dacia Sandero</t>
        </is>
      </c>
      <c r="E132" t="inlineStr">
        <is>
          <t>Hybrid</t>
        </is>
      </c>
      <c r="F132" s="10" t="n">
        <v>17414</v>
      </c>
    </row>
    <row r="133">
      <c r="A133" s="12" t="n">
        <v>45968</v>
      </c>
      <c r="B133" t="inlineStr">
        <is>
          <t>2025-11</t>
        </is>
      </c>
      <c r="C133" t="inlineStr">
        <is>
          <t>Ioana Vlad</t>
        </is>
      </c>
      <c r="D133" t="inlineStr">
        <is>
          <t>Renault Clio</t>
        </is>
      </c>
      <c r="E133" t="inlineStr">
        <is>
          <t>Diesel</t>
        </is>
      </c>
      <c r="F133" s="10" t="n">
        <v>18323</v>
      </c>
    </row>
    <row r="134">
      <c r="A134" s="12" t="n">
        <v>46007</v>
      </c>
      <c r="B134" t="inlineStr">
        <is>
          <t>2025-12</t>
        </is>
      </c>
      <c r="C134" t="inlineStr">
        <is>
          <t>Cristian Dinu</t>
        </is>
      </c>
      <c r="D134" t="inlineStr">
        <is>
          <t>Dacia Logan</t>
        </is>
      </c>
      <c r="E134" t="inlineStr">
        <is>
          <t>Petrol</t>
        </is>
      </c>
      <c r="F134" s="10" t="n">
        <v>12235</v>
      </c>
    </row>
    <row r="135">
      <c r="A135" s="12" t="n">
        <v>46011</v>
      </c>
      <c r="B135" t="inlineStr">
        <is>
          <t>2025-12</t>
        </is>
      </c>
      <c r="C135" t="inlineStr">
        <is>
          <t>Cristian Dinu</t>
        </is>
      </c>
      <c r="D135" t="inlineStr">
        <is>
          <t>Dacia Logan</t>
        </is>
      </c>
      <c r="E135" t="inlineStr">
        <is>
          <t>Petrol</t>
        </is>
      </c>
      <c r="F135" s="10" t="n">
        <v>13616</v>
      </c>
    </row>
    <row r="136">
      <c r="A136" s="12" t="n">
        <v>46002</v>
      </c>
      <c r="B136" t="inlineStr">
        <is>
          <t>2025-12</t>
        </is>
      </c>
      <c r="C136" t="inlineStr">
        <is>
          <t>Cristian Dinu</t>
        </is>
      </c>
      <c r="D136" t="inlineStr">
        <is>
          <t>Dacia Sandero</t>
        </is>
      </c>
      <c r="E136" t="inlineStr">
        <is>
          <t>Diesel</t>
        </is>
      </c>
      <c r="F136" s="10" t="n">
        <v>15448</v>
      </c>
    </row>
    <row r="137">
      <c r="A137" s="12" t="n">
        <v>45997</v>
      </c>
      <c r="B137" t="inlineStr">
        <is>
          <t>2025-12</t>
        </is>
      </c>
      <c r="C137" t="inlineStr">
        <is>
          <t>Alexandra Ene</t>
        </is>
      </c>
      <c r="D137" t="inlineStr">
        <is>
          <t>VW Golf</t>
        </is>
      </c>
      <c r="E137" t="inlineStr">
        <is>
          <t>Petrol</t>
        </is>
      </c>
      <c r="F137" s="10" t="n">
        <v>26665</v>
      </c>
    </row>
    <row r="138">
      <c r="A138" s="12" t="n">
        <v>46012</v>
      </c>
      <c r="B138" t="inlineStr">
        <is>
          <t>2025-12</t>
        </is>
      </c>
      <c r="C138" t="inlineStr">
        <is>
          <t>Sorin Ilie</t>
        </is>
      </c>
      <c r="D138" t="inlineStr">
        <is>
          <t>Renault Clio</t>
        </is>
      </c>
      <c r="E138" t="inlineStr">
        <is>
          <t>Diesel</t>
        </is>
      </c>
      <c r="F138" s="10" t="n">
        <v>19076</v>
      </c>
    </row>
    <row r="139">
      <c r="A139" s="12" t="n">
        <v>46004</v>
      </c>
      <c r="B139" t="inlineStr">
        <is>
          <t>2025-12</t>
        </is>
      </c>
      <c r="C139" t="inlineStr">
        <is>
          <t>Andrei Munteanu</t>
        </is>
      </c>
      <c r="D139" t="inlineStr">
        <is>
          <t>VW Golf</t>
        </is>
      </c>
      <c r="E139" t="inlineStr">
        <is>
          <t>Petrol</t>
        </is>
      </c>
      <c r="F139" s="10" t="n">
        <v>28240</v>
      </c>
    </row>
    <row r="140">
      <c r="A140" s="12" t="n">
        <v>46015</v>
      </c>
      <c r="B140" t="inlineStr">
        <is>
          <t>2025-12</t>
        </is>
      </c>
      <c r="C140" t="inlineStr">
        <is>
          <t>Sorin Ilie</t>
        </is>
      </c>
      <c r="D140" t="inlineStr">
        <is>
          <t>Dacia Logan</t>
        </is>
      </c>
      <c r="E140" t="inlineStr">
        <is>
          <t>Diesel</t>
        </is>
      </c>
      <c r="F140" s="10" t="n">
        <v>11442</v>
      </c>
    </row>
    <row r="141">
      <c r="A141" s="12" t="n">
        <v>46008</v>
      </c>
      <c r="B141" t="inlineStr">
        <is>
          <t>2025-12</t>
        </is>
      </c>
      <c r="C141" t="inlineStr">
        <is>
          <t>Alexandra Ene</t>
        </is>
      </c>
      <c r="D141" t="inlineStr">
        <is>
          <t>Dacia Duster</t>
        </is>
      </c>
      <c r="E141" t="inlineStr">
        <is>
          <t>Petrol</t>
        </is>
      </c>
      <c r="F141" s="10" t="n">
        <v>21789</v>
      </c>
    </row>
    <row r="142">
      <c r="A142" s="12" t="n">
        <v>45995</v>
      </c>
      <c r="B142" t="inlineStr">
        <is>
          <t>2025-12</t>
        </is>
      </c>
      <c r="C142" t="inlineStr">
        <is>
          <t>Alexandra Ene</t>
        </is>
      </c>
      <c r="D142" t="inlineStr">
        <is>
          <t>Dacia Sandero</t>
        </is>
      </c>
      <c r="E142" t="inlineStr">
        <is>
          <t>Hybrid</t>
        </is>
      </c>
      <c r="F142" s="10" t="n">
        <v>13088</v>
      </c>
    </row>
    <row r="143">
      <c r="A143" s="12" t="n">
        <v>46009</v>
      </c>
      <c r="B143" t="inlineStr">
        <is>
          <t>2025-12</t>
        </is>
      </c>
      <c r="C143" t="inlineStr">
        <is>
          <t>Cristian Dinu</t>
        </is>
      </c>
      <c r="D143" t="inlineStr">
        <is>
          <t>Dacia Duster</t>
        </is>
      </c>
      <c r="E143" t="inlineStr">
        <is>
          <t>Electric</t>
        </is>
      </c>
      <c r="F143" s="10" t="n">
        <v>21292</v>
      </c>
    </row>
    <row r="144">
      <c r="A144" s="12" t="n">
        <v>45995</v>
      </c>
      <c r="B144" t="inlineStr">
        <is>
          <t>2025-12</t>
        </is>
      </c>
      <c r="C144" t="inlineStr">
        <is>
          <t>Sorin Ilie</t>
        </is>
      </c>
      <c r="D144" t="inlineStr">
        <is>
          <t>Skoda Octavia</t>
        </is>
      </c>
      <c r="E144" t="inlineStr">
        <is>
          <t>Electric</t>
        </is>
      </c>
      <c r="F144" s="10" t="n">
        <v>27933</v>
      </c>
    </row>
    <row r="145">
      <c r="A145" s="12" t="n">
        <v>46011</v>
      </c>
      <c r="B145" t="inlineStr">
        <is>
          <t>2025-12</t>
        </is>
      </c>
      <c r="C145" t="inlineStr">
        <is>
          <t>Andrei Munteanu</t>
        </is>
      </c>
      <c r="D145" t="inlineStr">
        <is>
          <t>VW Golf</t>
        </is>
      </c>
      <c r="E145" t="inlineStr">
        <is>
          <t>Petrol</t>
        </is>
      </c>
      <c r="F145" s="10" t="n">
        <v>26500</v>
      </c>
    </row>
  </sheetData>
  <autoFilter ref="A1:F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Revenue</t>
        </is>
      </c>
      <c r="D1" t="inlineStr">
        <is>
          <t>Month</t>
        </is>
      </c>
      <c r="E1" t="inlineStr">
        <is>
          <t>Revenue</t>
        </is>
      </c>
      <c r="G1" t="inlineStr">
        <is>
          <t>Fuel</t>
        </is>
      </c>
      <c r="H1" t="inlineStr">
        <is>
          <t>Revenue</t>
        </is>
      </c>
    </row>
    <row r="2">
      <c r="A2" t="inlineStr">
        <is>
          <t>Dacia Logan</t>
        </is>
      </c>
      <c r="B2">
        <f>SUMIF(Data!$D$2:$D$145,A2,Data!$F$2:$F$145)</f>
        <v/>
      </c>
      <c r="D2" t="inlineStr">
        <is>
          <t>2025-01</t>
        </is>
      </c>
      <c r="E2">
        <f>SUMIF(Data!$B$2:$B$145,D2,Data!$F$2:$F$145)</f>
        <v/>
      </c>
      <c r="G2" t="inlineStr">
        <is>
          <t>Petrol</t>
        </is>
      </c>
      <c r="H2">
        <f>SUMIF(Data!$E$2:$E$145,G2,Data!$F$2:$F$145)</f>
        <v/>
      </c>
    </row>
    <row r="3">
      <c r="A3" t="inlineStr">
        <is>
          <t>Dacia Sandero</t>
        </is>
      </c>
      <c r="B3">
        <f>SUMIF(Data!$D$2:$D$145,A3,Data!$F$2:$F$145)</f>
        <v/>
      </c>
      <c r="D3" t="inlineStr">
        <is>
          <t>2025-02</t>
        </is>
      </c>
      <c r="E3">
        <f>SUMIF(Data!$B$2:$B$145,D3,Data!$F$2:$F$145)</f>
        <v/>
      </c>
      <c r="G3" t="inlineStr">
        <is>
          <t>Diesel</t>
        </is>
      </c>
      <c r="H3">
        <f>SUMIF(Data!$E$2:$E$145,G3,Data!$F$2:$F$145)</f>
        <v/>
      </c>
    </row>
    <row r="4">
      <c r="A4" t="inlineStr">
        <is>
          <t>Dacia Duster</t>
        </is>
      </c>
      <c r="B4">
        <f>SUMIF(Data!$D$2:$D$145,A4,Data!$F$2:$F$145)</f>
        <v/>
      </c>
      <c r="D4" t="inlineStr">
        <is>
          <t>2025-03</t>
        </is>
      </c>
      <c r="E4">
        <f>SUMIF(Data!$B$2:$B$145,D4,Data!$F$2:$F$145)</f>
        <v/>
      </c>
      <c r="G4" t="inlineStr">
        <is>
          <t>Hybrid</t>
        </is>
      </c>
      <c r="H4">
        <f>SUMIF(Data!$E$2:$E$145,G4,Data!$F$2:$F$145)</f>
        <v/>
      </c>
    </row>
    <row r="5">
      <c r="A5" t="inlineStr">
        <is>
          <t>Renault Clio</t>
        </is>
      </c>
      <c r="B5">
        <f>SUMIF(Data!$D$2:$D$145,A5,Data!$F$2:$F$145)</f>
        <v/>
      </c>
      <c r="D5" t="inlineStr">
        <is>
          <t>2025-04</t>
        </is>
      </c>
      <c r="E5">
        <f>SUMIF(Data!$B$2:$B$145,D5,Data!$F$2:$F$145)</f>
        <v/>
      </c>
      <c r="G5" t="inlineStr">
        <is>
          <t>Electric</t>
        </is>
      </c>
      <c r="H5">
        <f>SUMIF(Data!$E$2:$E$145,G5,Data!$F$2:$F$145)</f>
        <v/>
      </c>
    </row>
    <row r="6">
      <c r="A6" t="inlineStr">
        <is>
          <t>Skoda Octavia</t>
        </is>
      </c>
      <c r="B6">
        <f>SUMIF(Data!$D$2:$D$145,A6,Data!$F$2:$F$145)</f>
        <v/>
      </c>
      <c r="D6" t="inlineStr">
        <is>
          <t>2025-05</t>
        </is>
      </c>
      <c r="E6">
        <f>SUMIF(Data!$B$2:$B$145,D6,Data!$F$2:$F$145)</f>
        <v/>
      </c>
    </row>
    <row r="7">
      <c r="A7" t="inlineStr">
        <is>
          <t>VW Golf</t>
        </is>
      </c>
      <c r="B7">
        <f>SUMIF(Data!$D$2:$D$145,A7,Data!$F$2:$F$145)</f>
        <v/>
      </c>
      <c r="D7" t="inlineStr">
        <is>
          <t>2025-06</t>
        </is>
      </c>
      <c r="E7">
        <f>SUMIF(Data!$B$2:$B$145,D7,Data!$F$2:$F$145)</f>
        <v/>
      </c>
    </row>
    <row r="8">
      <c r="D8" t="inlineStr">
        <is>
          <t>2025-07</t>
        </is>
      </c>
      <c r="E8">
        <f>SUMIF(Data!$B$2:$B$145,D8,Data!$F$2:$F$145)</f>
        <v/>
      </c>
    </row>
    <row r="9">
      <c r="D9" t="inlineStr">
        <is>
          <t>2025-08</t>
        </is>
      </c>
      <c r="E9">
        <f>SUMIF(Data!$B$2:$B$145,D9,Data!$F$2:$F$145)</f>
        <v/>
      </c>
    </row>
    <row r="10">
      <c r="D10" t="inlineStr">
        <is>
          <t>2025-09</t>
        </is>
      </c>
      <c r="E10">
        <f>SUMIF(Data!$B$2:$B$145,D10,Data!$F$2:$F$145)</f>
        <v/>
      </c>
    </row>
    <row r="11">
      <c r="D11" t="inlineStr">
        <is>
          <t>2025-10</t>
        </is>
      </c>
      <c r="E11">
        <f>SUMIF(Data!$B$2:$B$145,D11,Data!$F$2:$F$145)</f>
        <v/>
      </c>
    </row>
    <row r="12">
      <c r="D12" t="inlineStr">
        <is>
          <t>2025-11</t>
        </is>
      </c>
      <c r="E12">
        <f>SUMIF(Data!$B$2:$B$145,D12,Data!$F$2:$F$145)</f>
        <v/>
      </c>
    </row>
    <row r="13">
      <c r="D13" t="inlineStr">
        <is>
          <t>2025-12</t>
        </is>
      </c>
      <c r="E13">
        <f>SUMIF(Data!$B$2:$B$145,D13,Data!$F$2:$F$145)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2026-10-04T07:36:17Z</dcterms:created>
  <dcterms:modified xmlns:dcterms="http://purl.org/dc/terms/" xmlns:xsi="http://www.w3.org/2001/XMLSchema-instance" xsi:type="dcterms:W3CDTF">2026-10-04T07:36:17Z</dcterms:modified>
</cp:coreProperties>
</file>